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2.) Intermediate/Flatten the Stack/"/>
    </mc:Choice>
  </mc:AlternateContent>
  <xr:revisionPtr revIDLastSave="1456" documentId="13_ncr:1_{D2B2616F-88C3-475B-8CA1-1A4A74605421}" xr6:coauthVersionLast="47" xr6:coauthVersionMax="47" xr10:uidLastSave="{8DACAF1B-67A6-47CB-A755-6FD93452D764}"/>
  <bookViews>
    <workbookView xWindow="-120" yWindow="-120" windowWidth="29040" windowHeight="15720" firstSheet="1" activeTab="1" xr2:uid="{3CA7F268-9CE6-4C74-9247-443473D7312D}"/>
  </bookViews>
  <sheets>
    <sheet name="Pivot Tables" sheetId="1" state="hidden" r:id="rId1"/>
    <sheet name="Dashboard" sheetId="2" r:id="rId2"/>
    <sheet name="2018 MoM Growth Anomoly" sheetId="3" r:id="rId3"/>
  </sheets>
  <definedNames>
    <definedName name="_xlchart.v1.0" hidden="1">'Pivot Tables'!$D$27:$D$38</definedName>
    <definedName name="_xlchart.v1.1" hidden="1">'Pivot Tables'!$E$26</definedName>
    <definedName name="_xlchart.v1.2" hidden="1">'Pivot Tables'!$E$27:$E$38</definedName>
    <definedName name="ExternalData_1" localSheetId="0" hidden="1">'Pivot Tables'!#REF!</definedName>
    <definedName name="Slicer_fulfillment">#N/A</definedName>
    <definedName name="Slicer_order_date__Year">#N/A</definedName>
  </definedNames>
  <calcPr calcId="191029"/>
  <pivotCaches>
    <pivotCache cacheId="0" r:id="rId4"/>
    <pivotCache cacheId="1" r:id="rId5"/>
    <pivotCache cacheId="2" r:id="rId6"/>
    <pivotCache cacheId="3" r:id="rId7"/>
    <pivotCache cacheId="4" r:id="rId8"/>
    <pivotCache cacheId="5" r:id="rId9"/>
    <pivotCache cacheId="6" r:id="rId10"/>
    <pivotCache cacheId="7" r:id="rId11"/>
    <pivotCache cacheId="8" r:id="rId12"/>
  </pivotCaches>
  <extLst>
    <ext xmlns:x14="http://schemas.microsoft.com/office/spreadsheetml/2009/9/main" uri="{876F7934-8845-4945-9796-88D515C7AA90}">
      <x14:pivotCaches>
        <pivotCache cacheId="9" r:id="rId13"/>
        <pivotCache cacheId="10"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extLst>
          <ext xmlns:x16="http://schemas.microsoft.com/office/spreadsheetml/2014/11/main" uri="{9835A34E-60A6-4A7C-AAB8-D5F71C897F49}">
            <x16:modelTimeGroupings>
              <x16:modelTimeGrouping tableName="sales_order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7" i="1" l="1" a="1"/>
  <c r="D27" i="1" a="1"/>
  <c r="D26" i="1" a="1"/>
  <c r="G2" i="1"/>
  <c r="I2" i="1"/>
  <c r="E27" i="1" l="1"/>
  <c r="D27" i="1"/>
  <c r="D26" i="1"/>
  <c r="K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ext>
    </extLst>
  </connection>
  <connection id="2"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3"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ext>
    </extLst>
  </connection>
  <connection id="4"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<sst xmlns="http://schemas.openxmlformats.org/spreadsheetml/2006/main" count="51" uniqueCount="28">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</sst>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5">
    <xf numFmtId="0" fontId="0" fillId="0" borderId="0" xfId="0"/>
    <xf numFmtId="0" fontId="0" fillId="0" borderId="0" xfId="0" pivotButton="1"/>
    <xf numFmtId="164" fontId="0" fillId="0" borderId="0" xfId="0" applyNumberFormat="1"/>
    <xf numFmtId="3"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164" fontId="0" fillId="0" borderId="8" xfId="0" applyNumberFormat="1" applyBorder="1" applyAlignment="1">
      <alignment horizontal="left"/>
    </xf>
    <xf numFmtId="0" fontId="0" fillId="0" borderId="7" xfId="0" applyBorder="1" applyAlignment="1">
      <alignment horizontal="left"/>
    </xf>
    <xf numFmtId="0" fontId="0" fillId="0" borderId="8" xfId="0" applyBorder="1" applyAlignment="1">
      <alignment horizontal="left"/>
    </xf>
    <xf numFmtId="3" fontId="0" fillId="0" borderId="8" xfId="0" applyNumberForma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8" Type="http://schemas.openxmlformats.org/officeDocument/2006/relationships/customXml" Target="../customXml/item35.xml"/><Relationship Id="rId5"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56" Type="http://schemas.openxmlformats.org/officeDocument/2006/relationships/customXml" Target="../customXml/item33.xml"/><Relationship Id="rId8" Type="http://schemas.openxmlformats.org/officeDocument/2006/relationships/pivotCacheDefinition" Target="pivotCache/pivotCacheDefinition5.xml"/><Relationship Id="rId51"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59" Type="http://schemas.openxmlformats.org/officeDocument/2006/relationships/customXml" Target="../customXml/item36.xml"/><Relationship Id="rId20" Type="http://schemas.openxmlformats.org/officeDocument/2006/relationships/sharedStrings" Target="sharedString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1.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57" Type="http://schemas.openxmlformats.org/officeDocument/2006/relationships/customXml" Target="../customXml/item34.xml"/><Relationship Id="rId10" Type="http://schemas.openxmlformats.org/officeDocument/2006/relationships/pivotCacheDefinition" Target="pivotCache/pivotCacheDefinition7.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60" Type="http://schemas.openxmlformats.org/officeDocument/2006/relationships/customXml" Target="../customXml/item37.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88319.260000000009</c:v>
                </c:pt>
                <c:pt idx="1">
                  <c:v>66181.599999999991</c:v>
                </c:pt>
                <c:pt idx="2">
                  <c:v>22210.78</c:v>
                </c:pt>
                <c:pt idx="3">
                  <c:v>25059.529999999995</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308</c:v>
                </c:pt>
                <c:pt idx="1">
                  <c:v>321</c:v>
                </c:pt>
                <c:pt idx="2">
                  <c:v>58</c:v>
                </c:pt>
                <c:pt idx="3">
                  <c:v>73</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a:t>
            </a:r>
            <a:r>
              <a:rPr lang="en-US" baseline="0"/>
              <a:t> of Total Sales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Tables'!$E$1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C036-4A90-A1F2-B0BE0910DA76}"/>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C036-4A90-A1F2-B0BE0910DA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Tables'!$D$2:$D$3</c:f>
              <c:strCache>
                <c:ptCount val="2"/>
                <c:pt idx="0">
                  <c:v>In store</c:v>
                </c:pt>
                <c:pt idx="1">
                  <c:v>Online</c:v>
                </c:pt>
              </c:strCache>
            </c:strRef>
          </c:cat>
          <c:val>
            <c:numRef>
              <c:f>'Pivot Tables'!$E$2:$E$3</c:f>
              <c:numCache>
                <c:formatCode>\$#,##0;\(\$#,##0\);\$#,##0</c:formatCode>
                <c:ptCount val="2"/>
                <c:pt idx="0">
                  <c:v>183532.19000000009</c:v>
                </c:pt>
                <c:pt idx="1">
                  <c:v>18238.98</c:v>
                </c:pt>
              </c:numCache>
            </c:numRef>
          </c:val>
          <c:extLst>
            <c:ext xmlns:c16="http://schemas.microsoft.com/office/drawing/2014/chart" uri="{C3380CC4-5D6E-409C-BE32-E72D297353CC}">
              <c16:uniqueId val="{00000004-C036-4A90-A1F2-B0BE0910DA7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Total Orders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
        <c:idx val="31"/>
        <c:spPr>
          <a:ln>
            <a:solidFill>
              <a:srgbClr val="5B9BD5"/>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2"/>
        <c:spPr>
          <a:solidFill>
            <a:srgbClr val="70AD47"/>
          </a:solidFill>
          <a:ln w="19050">
            <a:solidFill>
              <a:srgbClr val="70AD47"/>
            </a:solidFill>
          </a:ln>
          <a:effectLst/>
        </c:spPr>
      </c:pivotFmt>
      <c:pivotFmt>
        <c:idx val="33"/>
        <c:spPr>
          <a:solidFill>
            <a:srgbClr val="5B9BD5"/>
          </a:solidFill>
          <a:ln w="19050">
            <a:solidFill>
              <a:srgbClr val="5B9BD5"/>
            </a:solidFill>
          </a:ln>
          <a:effectLst/>
        </c:spPr>
      </c:pivotFmt>
    </c:pivotFmts>
    <c:plotArea>
      <c:layout/>
      <c:pieChart>
        <c:varyColors val="1"/>
        <c:ser>
          <c:idx val="0"/>
          <c:order val="0"/>
          <c:tx>
            <c:strRef>
              <c:f>'Pivot Tables'!$E$5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7-5B9B-4684-84B4-95B3F5FE70A2}"/>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9-5B9B-4684-84B4-95B3F5FE70A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Tables'!$D$6:$D$7</c:f>
              <c:strCache>
                <c:ptCount val="2"/>
                <c:pt idx="0">
                  <c:v>In store</c:v>
                </c:pt>
                <c:pt idx="1">
                  <c:v>Online</c:v>
                </c:pt>
              </c:strCache>
            </c:strRef>
          </c:cat>
          <c:val>
            <c:numRef>
              <c:f>'Pivot Tables'!$E$6:$E$7</c:f>
              <c:numCache>
                <c:formatCode>General</c:formatCode>
                <c:ptCount val="2"/>
                <c:pt idx="0">
                  <c:v>83</c:v>
                </c:pt>
                <c:pt idx="1">
                  <c:v>17</c:v>
                </c:pt>
              </c:numCache>
            </c:numRef>
          </c:val>
          <c:extLst>
            <c:ext xmlns:c16="http://schemas.microsoft.com/office/drawing/2014/chart" uri="{C3380CC4-5D6E-409C-BE32-E72D297353CC}">
              <c16:uniqueId val="{0000000A-5B9B-4684-84B4-95B3F5FE70A2}"/>
            </c:ext>
          </c:extLst>
        </c:ser>
        <c:dLbls>
          <c:dLblPos val="bestFit"/>
          <c:showLegendKey val="0"/>
          <c:showVal val="1"/>
          <c:showCatName val="0"/>
          <c:showSerName val="0"/>
          <c:showPercent val="0"/>
          <c:showBubbleSize val="0"/>
          <c:showLeaderLines val="1"/>
        </c:dLbls>
        <c:firstSliceAng val="0"/>
      </c:pieChart>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Tables!FulfillmentsAOVPie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s>
    <c:plotArea>
      <c:layout/>
      <c:pieChart>
        <c:varyColors val="1"/>
        <c:ser>
          <c:idx val="0"/>
          <c:order val="0"/>
          <c:tx>
            <c:strRef>
              <c:f>'Pivot Tables'!$E$9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4F6-4A1B-9C9D-83FCAC6F8C33}"/>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4F6-4A1B-9C9D-83FCAC6F8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Tables'!$D$10:$D$11</c:f>
              <c:strCache>
                <c:ptCount val="2"/>
                <c:pt idx="0">
                  <c:v>In store</c:v>
                </c:pt>
                <c:pt idx="1">
                  <c:v>Online</c:v>
                </c:pt>
              </c:strCache>
            </c:strRef>
          </c:cat>
          <c:val>
            <c:numRef>
              <c:f>'Pivot Tables'!$E$10:$E$11</c:f>
              <c:numCache>
                <c:formatCode>#,##0</c:formatCode>
                <c:ptCount val="2"/>
                <c:pt idx="0">
                  <c:v>2211.231204819278</c:v>
                </c:pt>
                <c:pt idx="1">
                  <c:v>1072.8811764705881</c:v>
                </c:pt>
              </c:numCache>
            </c:numRef>
          </c:val>
          <c:extLst>
            <c:ext xmlns:c16="http://schemas.microsoft.com/office/drawing/2014/chart" uri="{C3380CC4-5D6E-409C-BE32-E72D297353CC}">
              <c16:uniqueId val="{00000004-54F6-4A1B-9C9D-83FCAC6F8C3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228601</xdr:colOff>
      <xdr:row>0</xdr:row>
      <xdr:rowOff>85726</xdr:rowOff>
    </xdr:from>
    <xdr:to>
      <xdr:col>23</xdr:col>
      <xdr:colOff>266700</xdr:colOff>
      <xdr:row>45</xdr:row>
      <xdr:rowOff>180974</xdr:rowOff>
    </xdr:to>
    <xdr:grpSp>
      <xdr:nvGrpSpPr>
        <xdr:cNvPr id="32" name="Group 31">
          <a:extLst>
            <a:ext uri="{FF2B5EF4-FFF2-40B4-BE49-F238E27FC236}">
              <a16:creationId xmlns:a16="http://schemas.microsoft.com/office/drawing/2014/main" id="{4E711784-2913-E25F-3031-CC63E8D372A3}"/>
            </a:ext>
          </a:extLst>
        </xdr:cNvPr>
        <xdr:cNvGrpSpPr/>
      </xdr:nvGrpSpPr>
      <xdr:grpSpPr>
        <a:xfrm>
          <a:off x="228601" y="85726"/>
          <a:ext cx="14058899" cy="8667748"/>
          <a:chOff x="95251" y="-314324"/>
          <a:chExt cx="14058899" cy="8667748"/>
        </a:xfrm>
      </xdr:grpSpPr>
      <xdr:grpSp>
        <xdr:nvGrpSpPr>
          <xdr:cNvPr id="21" name="Group 20">
            <a:extLst>
              <a:ext uri="{FF2B5EF4-FFF2-40B4-BE49-F238E27FC236}">
                <a16:creationId xmlns:a16="http://schemas.microsoft.com/office/drawing/2014/main" id="{C397D736-91B0-5D6B-1EF5-298C7B283F57}"/>
              </a:ext>
            </a:extLst>
          </xdr:cNvPr>
          <xdr:cNvGrpSpPr/>
        </xdr:nvGrpSpPr>
        <xdr:grpSpPr>
          <a:xfrm>
            <a:off x="123825" y="400050"/>
            <a:ext cx="14030325" cy="7953374"/>
            <a:chOff x="142875" y="476250"/>
            <a:chExt cx="14030325" cy="7953374"/>
          </a:xfrm>
        </xdr:grpSpPr>
        <xdr:grpSp>
          <xdr:nvGrpSpPr>
            <xdr:cNvPr id="8" name="Group 7">
              <a:extLst>
                <a:ext uri="{FF2B5EF4-FFF2-40B4-BE49-F238E27FC236}">
                  <a16:creationId xmlns:a16="http://schemas.microsoft.com/office/drawing/2014/main" id="{2A2A5E05-8FCB-636B-E4C2-23C6DA365E00}"/>
                </a:ext>
              </a:extLst>
            </xdr:cNvPr>
            <xdr:cNvGrpSpPr/>
          </xdr:nvGrpSpPr>
          <xdr:grpSpPr>
            <a:xfrm>
              <a:off x="142875" y="476250"/>
              <a:ext cx="14030325" cy="7953374"/>
              <a:chOff x="171450" y="-514350"/>
              <a:chExt cx="14030325" cy="7953374"/>
            </a:xfrm>
          </xdr:grpSpPr>
          <xdr:grpSp>
            <xdr:nvGrpSpPr>
              <xdr:cNvPr id="19" name="Group 18">
                <a:extLst>
                  <a:ext uri="{FF2B5EF4-FFF2-40B4-BE49-F238E27FC236}">
                    <a16:creationId xmlns:a16="http://schemas.microsoft.com/office/drawing/2014/main" id="{CC6AA5B0-9A8E-0222-AD1C-C1E989A2B2EE}"/>
                  </a:ext>
                </a:extLst>
              </xdr:cNvPr>
              <xdr:cNvGrpSpPr/>
            </xdr:nvGrpSpPr>
            <xdr:grpSpPr>
              <a:xfrm>
                <a:off x="171450" y="-514350"/>
                <a:ext cx="14030325" cy="7953374"/>
                <a:chOff x="171450" y="-695325"/>
                <a:chExt cx="14030325" cy="7953374"/>
              </a:xfrm>
            </xdr:grpSpPr>
            <xdr:grpSp>
              <xdr:nvGrpSpPr>
                <xdr:cNvPr id="30" name="Group 29">
                  <a:extLst>
                    <a:ext uri="{FF2B5EF4-FFF2-40B4-BE49-F238E27FC236}">
                      <a16:creationId xmlns:a16="http://schemas.microsoft.com/office/drawing/2014/main" id="{C035D027-AF92-3C00-1680-1DD92EDCE672}"/>
                    </a:ext>
                  </a:extLst>
                </xdr:cNvPr>
                <xdr:cNvGrpSpPr/>
              </xdr:nvGrpSpPr>
              <xdr:grpSpPr>
                <a:xfrm>
                  <a:off x="171450" y="-695325"/>
                  <a:ext cx="14030325" cy="5348287"/>
                  <a:chOff x="114300" y="-561975"/>
                  <a:chExt cx="14030325" cy="5348287"/>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23824" y="-561975"/>
                    <a:ext cx="14020801" cy="5348287"/>
                    <a:chOff x="123824" y="-533400"/>
                    <a:chExt cx="14020801" cy="5348287"/>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71450" y="609600"/>
                      <a:ext cx="13973175" cy="4205287"/>
                      <a:chOff x="133350" y="666750"/>
                      <a:chExt cx="13973175" cy="4205287"/>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33350" y="666750"/>
                        <a:ext cx="13973175" cy="4205287"/>
                        <a:chOff x="142875" y="342900"/>
                        <a:chExt cx="13973175" cy="4205287"/>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86351" y="1114424"/>
                        <a:ext cx="4457699" cy="3433763"/>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42875" y="1171576"/>
                        <a:ext cx="4657725" cy="332422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734549" y="1314451"/>
                            <a:ext cx="4381501" cy="297180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34549" y="1314451"/>
                              <a:ext cx="4381501" cy="29718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nvGrpSpPr>
                        <xdr:cNvPr id="12" name="Group 11">
                          <a:extLst>
                            <a:ext uri="{FF2B5EF4-FFF2-40B4-BE49-F238E27FC236}">
                              <a16:creationId xmlns:a16="http://schemas.microsoft.com/office/drawing/2014/main" id="{2E914752-265D-5625-7AF1-1C8202764A45}"/>
                            </a:ext>
                          </a:extLst>
                        </xdr:cNvPr>
                        <xdr:cNvGrpSpPr/>
                      </xdr:nvGrpSpPr>
                      <xdr:grpSpPr>
                        <a:xfrm>
                          <a:off x="11268075" y="342900"/>
                          <a:ext cx="1905000" cy="828675"/>
                          <a:chOff x="11258550" y="914400"/>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2011025" y="914400"/>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258550" y="942975"/>
                            <a:ext cx="723900" cy="723900"/>
                          </a:xfrm>
                          <a:prstGeom prst="rect">
                            <a:avLst/>
                          </a:prstGeom>
                        </xdr:spPr>
                      </xdr:pic>
                    </xdr:grpSp>
                  </xdr:grpSp>
                  <mc:AlternateContent xmlns:mc="http://schemas.openxmlformats.org/markup-compatibility/2006" xmlns:a14="http://schemas.microsoft.com/office/drawing/2010/main">
                    <mc:Choice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95326"/>
                          <a:ext cx="1828800" cy="685800"/>
                        </xdr:xfrm>
                        <a:graphic>
                          <a:graphicData uri="http://schemas.microsoft.com/office/drawing/2010/slicer">
                            <sle:slicer xmlns:sle="http://schemas.microsoft.com/office/drawing/2010/slicer" name="fulfillment"/>
                          </a:graphicData>
                        </a:graphic>
                      </xdr:graphicFrame>
                    </mc:Choice>
                    <mc:Fallback xmlns="">
                      <xdr:sp macro="" textlink="">
                        <xdr:nvSpPr>
                          <xdr:cNvPr id="0" name=""/>
                          <xdr:cNvSpPr>
                            <a:spLocks noTextEdit="1"/>
                          </xdr:cNvSpPr>
                        </xdr:nvSpPr>
                        <xdr:spPr>
                          <a:xfrm>
                            <a:off x="352425" y="19716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123824" y="-523876"/>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G$2">
                  <xdr:nvSpPr>
                    <xdr:cNvPr id="20" name="TextBox 19">
                      <a:extLst>
                        <a:ext uri="{FF2B5EF4-FFF2-40B4-BE49-F238E27FC236}">
                          <a16:creationId xmlns:a16="http://schemas.microsoft.com/office/drawing/2014/main" id="{E033B15F-B330-4B8B-8CB7-9560693028A1}"/>
                        </a:ext>
                      </a:extLst>
                    </xdr:cNvPr>
                    <xdr:cNvSpPr txBox="1"/>
                  </xdr:nvSpPr>
                  <xdr:spPr>
                    <a:xfrm>
                      <a:off x="619125" y="-114300"/>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2447924" y="-52387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I$2">
                  <xdr:nvSpPr>
                    <xdr:cNvPr id="23" name="TextBox 22">
                      <a:extLst>
                        <a:ext uri="{FF2B5EF4-FFF2-40B4-BE49-F238E27FC236}">
                          <a16:creationId xmlns:a16="http://schemas.microsoft.com/office/drawing/2014/main" id="{697E9F7E-0B0B-4A7C-834A-92A7107CE640}"/>
                        </a:ext>
                      </a:extLst>
                    </xdr:cNvPr>
                    <xdr:cNvSpPr txBox="1"/>
                  </xdr:nvSpPr>
                  <xdr:spPr>
                    <a:xfrm>
                      <a:off x="3305175" y="-114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5229225" y="-533400"/>
                      <a:ext cx="809626"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AOV</a:t>
                      </a:r>
                    </a:p>
                  </xdr:txBody>
                </xdr:sp>
                <xdr:sp macro="" textlink="'Pivot Tables'!$K$2">
                  <xdr:nvSpPr>
                    <xdr:cNvPr id="25" name="TextBox 24">
                      <a:extLst>
                        <a:ext uri="{FF2B5EF4-FFF2-40B4-BE49-F238E27FC236}">
                          <a16:creationId xmlns:a16="http://schemas.microsoft.com/office/drawing/2014/main" id="{3268E1B2-B776-4964-9233-2A8D071C2B23}"/>
                        </a:ext>
                      </a:extLst>
                    </xdr:cNvPr>
                    <xdr:cNvSpPr txBox="1"/>
                  </xdr:nvSpPr>
                  <xdr:spPr>
                    <a:xfrm>
                      <a:off x="5210175" y="-133350"/>
                      <a:ext cx="942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114300" y="-5048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2466975" y="-5048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5057776" y="-504825"/>
                    <a:ext cx="1190624"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aphicFrame macro="">
              <xdr:nvGraphicFramePr>
                <xdr:cNvPr id="10" name="Chart 9">
                  <a:extLst>
                    <a:ext uri="{FF2B5EF4-FFF2-40B4-BE49-F238E27FC236}">
                      <a16:creationId xmlns:a16="http://schemas.microsoft.com/office/drawing/2014/main" id="{577E71CF-9AD8-4A71-8A70-3A20846D1C79}"/>
                    </a:ext>
                  </a:extLst>
                </xdr:cNvPr>
                <xdr:cNvGraphicFramePr>
                  <a:graphicFrameLocks/>
                </xdr:cNvGraphicFramePr>
              </xdr:nvGraphicFramePr>
              <xdr:xfrm>
                <a:off x="371475" y="4591050"/>
                <a:ext cx="4572000" cy="2666999"/>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6" name="Chart 5">
                <a:extLst>
                  <a:ext uri="{FF2B5EF4-FFF2-40B4-BE49-F238E27FC236}">
                    <a16:creationId xmlns:a16="http://schemas.microsoft.com/office/drawing/2014/main" id="{466159C2-73DB-4A27-B5BC-04EC497002AF}"/>
                  </a:ext>
                </a:extLst>
              </xdr:cNvPr>
              <xdr:cNvGraphicFramePr>
                <a:graphicFrameLocks/>
              </xdr:cNvGraphicFramePr>
            </xdr:nvGraphicFramePr>
            <xdr:xfrm>
              <a:off x="5057775" y="4772025"/>
              <a:ext cx="4572000" cy="263842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7" name="Chart 6">
                <a:extLst>
                  <a:ext uri="{FF2B5EF4-FFF2-40B4-BE49-F238E27FC236}">
                    <a16:creationId xmlns:a16="http://schemas.microsoft.com/office/drawing/2014/main" id="{F84A04BA-D627-42B6-9AF4-FC84BECFE7A4}"/>
                  </a:ext>
                </a:extLst>
              </xdr:cNvPr>
              <xdr:cNvGraphicFramePr>
                <a:graphicFrameLocks/>
              </xdr:cNvGraphicFramePr>
            </xdr:nvGraphicFramePr>
            <xdr:xfrm>
              <a:off x="9496425" y="4686300"/>
              <a:ext cx="4572000" cy="2705100"/>
            </xdr:xfrm>
            <a:graphic>
              <a:graphicData uri="http://schemas.openxmlformats.org/drawingml/2006/chart">
                <c:chart xmlns:c="http://schemas.openxmlformats.org/drawingml/2006/chart" xmlns:r="http://schemas.openxmlformats.org/officeDocument/2006/relationships" r:id="rId8"/>
              </a:graphicData>
            </a:graphic>
          </xdr:graphicFrame>
        </xdr:grpSp>
        <mc:AlternateContent xmlns:mc="http://schemas.openxmlformats.org/markup-compatibility/2006" xmlns:a14="http://schemas.microsoft.com/office/drawing/2010/main">
          <mc:Choice Requires="a14">
            <xdr:graphicFrame macro="">
              <xdr:nvGraphicFramePr>
                <xdr:cNvPr id="16" name="order_date (Year)">
                  <a:extLst>
                    <a:ext uri="{FF2B5EF4-FFF2-40B4-BE49-F238E27FC236}">
                      <a16:creationId xmlns:a16="http://schemas.microsoft.com/office/drawing/2014/main" id="{86FA7895-B9AF-4C3E-9FE2-8FE6FDC8F9C1}"/>
                    </a:ext>
                  </a:extLst>
                </xdr:cNvPr>
                <xdr:cNvGraphicFramePr/>
              </xdr:nvGraphicFramePr>
              <xdr:xfrm>
                <a:off x="2295527" y="1638301"/>
                <a:ext cx="2552698" cy="68580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2409827" y="1962151"/>
                  <a:ext cx="2552698"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31" name="TextBox 30">
            <a:extLst>
              <a:ext uri="{FF2B5EF4-FFF2-40B4-BE49-F238E27FC236}">
                <a16:creationId xmlns:a16="http://schemas.microsoft.com/office/drawing/2014/main" id="{A40A7DE4-74A3-C83C-C5F4-96857F54BA8A}"/>
              </a:ext>
            </a:extLst>
          </xdr:cNvPr>
          <xdr:cNvSpPr txBox="1"/>
        </xdr:nvSpPr>
        <xdr:spPr>
          <a:xfrm>
            <a:off x="95251" y="-314324"/>
            <a:ext cx="60388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PRODUCT SALES ANALYSIS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4</xdr:row>
      <xdr:rowOff>9525</xdr:rowOff>
    </xdr:from>
    <xdr:to>
      <xdr:col>16</xdr:col>
      <xdr:colOff>361698</xdr:colOff>
      <xdr:row>27</xdr:row>
      <xdr:rowOff>36584</xdr:rowOff>
    </xdr:to>
    <xdr:pic>
      <xdr:nvPicPr>
        <xdr:cNvPr id="4" name="Picture 3">
          <a:extLst>
            <a:ext uri="{FF2B5EF4-FFF2-40B4-BE49-F238E27FC236}">
              <a16:creationId xmlns:a16="http://schemas.microsoft.com/office/drawing/2014/main" id="{F684B5E7-B58A-DB26-B420-D2E1137E03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771525"/>
          <a:ext cx="9734298" cy="440855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0208332" createdVersion="5" refreshedVersion="8" minRefreshableVersion="3" recordCount="0" supportSubquery="1" supportAdvancedDrill="1" xr:uid="{32079C0B-3A39-4421-B3A1-86F13BE1945E}">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1481479" createdVersion="5" refreshedVersion="8" minRefreshableVersion="3" recordCount="0" supportSubquery="1" supportAdvancedDrill="1" xr:uid="{57E0887C-8DDE-4849-B10A-1EE80B8BBE23}">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2754627" createdVersion="5" refreshedVersion="8" minRefreshableVersion="3" recordCount="0" supportSubquery="1" supportAdvancedDrill="1" xr:uid="{66626BEA-2AF2-404D-BBA9-B9A093CE56C5}">
  <cacheSource type="external" connectionId="4"/>
  <cacheFields count="3">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6689813" createdVersion="5" refreshedVersion="8" minRefreshableVersion="3" recordCount="0" supportSubquery="1" supportAdvancedDrill="1" xr:uid="{7B29228C-877F-4E80-976D-420BC62D15F4}">
  <cacheSource type="external" connectionId="4"/>
  <cacheFields count="5">
    <cacheField name="[Measures].[Total Sales]" caption="Total Sales" numFmtId="0" hierarchy="23"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19"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2"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2"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2"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2"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2"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cacheHierarchy uniqueName="[order_analysis].[num_products]" caption="num_products" attribute="1" defaultMemberUniqueName="[order_analysis].[num_products].[All]" allUniqueName="[order_analysis].[num_products].[All]" dimensionUniqueName="[order_analysis]" displayFolder="" count="2" memberValueDatatype="20" unbalanced="0"/>
    <cacheHierarchy uniqueName="[order_analysis].[total_sales]" caption="total_sales" attribute="1" defaultMemberUniqueName="[order_analysis].[total_sales].[All]" allUniqueName="[order_analysis].[total_sales].[All]" dimensionUniqueName="[order_analysis]" displayFolder="" count="2" memberValueDatatype="5" unbalanced="0"/>
    <cacheHierarchy uniqueName="[sales_orders].[order_number]" caption="order_number" attribute="1" defaultMemberUniqueName="[sales_orders].[order_number].[All]" allUniqueName="[sales_orders].[order_number].[All]" dimensionUniqueName="[sales_orders]" displayFolder="" count="2"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2"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2"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726852" createdVersion="5" refreshedVersion="8" minRefreshableVersion="3" recordCount="0" supportSubquery="1" supportAdvancedDrill="1" xr:uid="{B66F0A65-DECE-411A-92BE-3BBDFF77997B}">
  <cacheSource type="external" connectionId="4"/>
  <cacheFields count="4">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7615744" createdVersion="5" refreshedVersion="8" minRefreshableVersion="3" recordCount="0" supportSubquery="1" supportAdvancedDrill="1" xr:uid="{FD421979-E9C9-4744-95B4-E9571A5C6BFB}">
  <cacheSource type="external" connectionId="4"/>
  <cacheFields count="4">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8194444" createdVersion="5" refreshedVersion="8" minRefreshableVersion="3" recordCount="0" supportSubquery="1" supportAdvancedDrill="1" xr:uid="{D7E3DBDA-FA47-4503-8FB9-5FB40B8576B7}">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8541667" createdVersion="5" refreshedVersion="8" minRefreshableVersion="3" recordCount="0" supportSubquery="1" supportAdvancedDrill="1" xr:uid="{CCBEC363-1E91-4C97-B8ED-40229108D76E}">
  <cacheSource type="external" connectionId="4"/>
  <cacheFields count="5">
    <cacheField name="[Measures].[Total Sales]" caption="Total Sales" numFmtId="0" hierarchy="23"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Measures].[Sum of quantity]" caption="Sum of quantity" numFmtId="0" hierarchy="20"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fieldsUsage count="1">
        <fieldUsage x="3"/>
      </fieldsUsage>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9004629" createdVersion="5" refreshedVersion="8" minRefreshableVersion="3" recordCount="0" supportSubquery="1" supportAdvancedDrill="1" xr:uid="{8F74F924-F086-49F2-9729-C959D077875A}">
  <cacheSource type="external" connectionId="4"/>
  <cacheFields count="3">
    <cacheField name="[sales_orders].[order_date (Month)].[order_date (Month)]" caption="order_date (Month)" numFmtId="0" hierarchy="16" level="1">
      <sharedItems count="12">
        <s v="Jan"/>
        <s v="Feb"/>
        <s v="Mar"/>
        <s v="Apr"/>
        <s v="May"/>
        <s v="Jun"/>
        <s v="Jul"/>
        <s v="Aug"/>
        <s v="Sep"/>
        <s v="Oct"/>
        <s v="Nov"/>
        <s v="Dec"/>
      </sharedItems>
    </cacheField>
    <cacheField name="[Measures].[Total Sales]" caption="Total Sales" numFmtId="0" hierarchy="23"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2"/>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fieldsUsage count="2">
        <fieldUsage x="-1"/>
        <fieldUsage x="0"/>
      </fieldsUsage>
    </cacheHierarchy>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21412034" createdVersion="3" refreshedVersion="8" minRefreshableVersion="3" recordCount="0" supportSubquery="1" supportAdvancedDrill="1" xr:uid="{25BE8882-C792-4BFD-ACE3-1B0CEB285A8E}">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224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31752314813" createdVersion="3" refreshedVersion="8" minRefreshableVersion="3" recordCount="0" supportSubquery="1" supportAdvancedDrill="1" xr:uid="{D9158CCC-46F4-4F0B-B72D-41C5F8B90CEB}">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56014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7C681E-03DC-404F-A483-E0B2CA6E2B27}" name="FulfillmentsAOVPie" cacheId="1" applyNumberFormats="0" applyBorderFormats="0" applyFontFormats="0" applyPatternFormats="0" applyAlignmentFormats="0" applyWidthHeightFormats="1" dataCaption="Values" tag="a21d6b06-9a22-4b63-a7ab-af048062f19b" updatedVersion="8" minRefreshableVersion="5" subtotalHiddenItems="1" rowGrandTotals="0" colGrandTotals="0" itemPrintTitles="1" createdVersion="5" indent="0" compact="0" compactData="0" multipleFieldFilters="0" chartFormat="9">
  <location ref="D9:E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9">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2" count="1" selected="0">
            <x v="0"/>
          </reference>
        </references>
      </pivotArea>
    </chartFormat>
    <chartFormat chart="5" format="24">
      <pivotArea type="data" outline="0" fieldPosition="0">
        <references count="2">
          <reference field="4294967294" count="1" selected="0">
            <x v="0"/>
          </reference>
          <reference field="2" count="1" selected="0">
            <x v="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2" count="1" selected="0">
            <x v="0"/>
          </reference>
        </references>
      </pivotArea>
    </chartFormat>
    <chartFormat chart="8" format="30">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6" applyNumberFormats="0" applyBorderFormats="0" applyFontFormats="0" applyPatternFormats="0" applyAlignmentFormats="0" applyWidthHeightFormats="1" dataCaption="Values" tag="db57237d-bed3-4ad2-a36e-0e1925f94326" updatedVersion="8" minRefreshableVersion="5" subtotalHiddenItems="1" rowGrandTotals="0" colGrandTotals="0" itemPrintTitles="1" createdVersion="5" indent="0" compact="0" compactData="0" multipleFieldFilters="0" chartFormat="4">
  <location ref="A1:B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3">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4" applyNumberFormats="0" applyBorderFormats="0" applyFontFormats="0" applyPatternFormats="0" applyAlignmentFormats="0" applyWidthHeightFormats="1" dataCaption="Values" tag="f2077aa4-09d3-4239-9ed0-2f1f33a7850d" updatedVersion="8" minRefreshableVersion="5" subtotalHiddenItems="1" rowGrandTotals="0" colGrandTotals="0" itemPrintTitles="1" createdVersion="5" indent="0" compact="0" compactData="0" multipleFieldFilters="0" chartFormat="5">
  <location ref="A9:B11"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3">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93867C-18D4-44CE-8192-29F8BE182790}" name="MoMSalesAnalysis" cacheId="8" applyNumberFormats="0" applyBorderFormats="0" applyFontFormats="0" applyPatternFormats="0" applyAlignmentFormats="0" applyWidthHeightFormats="1" dataCaption="Values" tag="d1295c1d-d4dd-40d3-b088-252ef9eb13b1" updatedVersion="8" minRefreshableVersion="3" rowGrandTotals="0" colGrandTotals="0" itemPrintTitles="1" createdVersion="5" indent="0" compact="0" compactData="0" multipleFieldFilters="0">
  <location ref="A26:B38" firstHeaderRow="1" firstDataRow="1" firstDataCol="1"/>
  <pivotFields count="3">
    <pivotField name="order_month" axis="axisRow" compact="0" allDrilled="1" outline="0" subtotalTop="0" showAll="0" dataSourceSort="1" defaultAttributeDrillState="1">
      <items count="13">
        <item x="0"/>
        <item x="1"/>
        <item x="2"/>
        <item x="3"/>
        <item x="4"/>
        <item x="5"/>
        <item x="6"/>
        <item x="7"/>
        <item x="8"/>
        <item x="9"/>
        <item x="10"/>
        <item x="11"/>
        <item t="default"/>
      </items>
    </pivotField>
    <pivotField dataField="1" compact="0" outline="0" subtotalTop="0" showAll="0"/>
    <pivotField compact="0" allDrilled="1" outline="0" subtotalTop="0"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order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7"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dataField="1" compact="0" outline="0" subtotalTop="0" showAll="0"/>
    <pivotField compact="0" allDrilled="1" outline="0" subtotalTop="0" showAll="0" dataSourceSort="1" defaultAttributeDrillState="1"/>
  </pivotFields>
  <rowFields count="1">
    <field x="2"/>
  </rowFields>
  <rowItems count="4">
    <i>
      <x/>
    </i>
    <i>
      <x v="1"/>
    </i>
    <i>
      <x v="2"/>
    </i>
    <i>
      <x v="3"/>
    </i>
  </rowItems>
  <colFields count="1">
    <field x="-2"/>
  </colFields>
  <colItems count="2">
    <i>
      <x/>
    </i>
    <i i="1">
      <x v="1"/>
    </i>
  </colItems>
  <dataFields count="2">
    <dataField name="Total Quantity Purchased" fld="3"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Total Quantity Purchas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3"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Total Products Purchas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23">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F319B4-E40E-45B2-BB06-91EBE8A7DE0C}" name="FulfillmentsTotalSalesPie" cacheId="2"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8">
  <location ref="D1:E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0" count="1" selected="0">
            <x v="0"/>
          </reference>
        </references>
      </pivotArea>
    </chartFormat>
    <chartFormat chart="7" format="2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5"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1">
    <chartFormat chart="0"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D4B761F-4C3D-49E1-A7C8-372EF985D455}" name="FulfillmentsTotalOrdersPie" cacheId="0" applyNumberFormats="0" applyBorderFormats="0" applyFontFormats="0" applyPatternFormats="0" applyAlignmentFormats="0" applyWidthHeightFormats="1" dataCaption="Values" tag="8a3255eb-ad8f-496c-9df7-0b287b67201d" updatedVersion="8" minRefreshableVersion="5" subtotalHiddenItems="1" rowGrandTotals="0" colGrandTotals="0" itemPrintTitles="1" createdVersion="5" indent="0" compact="0" compactData="0" multipleFieldFilters="0" chartFormat="8">
  <location ref="D5:E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7">
    <chartFormat chart="0" format="13" series="1">
      <pivotArea type="data" outline="0" fieldPosition="0">
        <references count="1">
          <reference field="4294967294" count="1" selected="0">
            <x v="0"/>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2" count="1" selected="0">
            <x v="0"/>
          </reference>
        </references>
      </pivotArea>
    </chartFormat>
    <chartFormat chart="4" format="24">
      <pivotArea type="data" outline="0" fieldPosition="0">
        <references count="2">
          <reference field="4294967294" count="1" selected="0">
            <x v="0"/>
          </reference>
          <reference field="2" count="1" selected="0">
            <x v="1"/>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2">
          <reference field="4294967294" count="1" selected="0">
            <x v="0"/>
          </reference>
          <reference field="2" count="1" selected="0">
            <x v="0"/>
          </reference>
        </references>
      </pivotArea>
    </chartFormat>
    <chartFormat chart="7" format="3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ProductsPurchased"/>
    <pivotTable tabId="1" name="FulfillmentsTotalOrders"/>
    <pivotTable tabId="1" name="FulfillmentsTotalSales"/>
    <pivotTable tabId="1" name="Orders"/>
    <pivotTable tabId="1" name="FulfillmentsAOV"/>
  </pivotTables>
  <data>
    <olap pivotCacheId="15002242">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4FB9C44D-B9B8-4DC4-BBDF-A73BCDE14466}" sourceName="[sales_orders].[order_date (Year)]">
  <pivotTables>
    <pivotTable tabId="1" name="Orders"/>
    <pivotTable tabId="1" name="FulfillmentsAOV"/>
    <pivotTable tabId="1" name="FulfillmentsTotalOrders"/>
    <pivotTable tabId="1" name="FulfillmentsTotalSales"/>
    <pivotTable tabId="1" name="ProductsPurchased"/>
    <pivotTable tabId="1" name="MoMSalesAnalysis"/>
  </pivotTables>
  <data>
    <olap pivotCacheId="856014370">
      <levels count="2">
        <level uniqueName="[sales_orders].[order_date (Year)].[(All)]" sourceCaption="(All)" count="0"/>
        <level uniqueName="[sales_orders].[order_date (Year)].[order_date (Year)]" sourceCaption="order_date (Year)" count="5">
          <ranges>
            <range startItem="0">
              <i n="[sales_orders].[order_date (Year)].&amp;[2016]" c="2016"/>
              <i n="[sales_orders].[order_date (Year)].&amp;[2017]" c="2017"/>
              <i n="[sales_orders].[order_date (Year)].&amp;[2018]" c="2018"/>
              <i n="[sales_orders].[order_date (Year)].&amp;[2019]" c="2019"/>
              <i n="[sales_orders].[order_date (Year)].&amp;[2020]" c="2020"/>
            </range>
          </ranges>
        </level>
      </levels>
      <selections count="1">
        <selection n="[sales_orders].[order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fillment" xr10:uid="{40A3E024-0F0A-4C96-9408-7C77C3A10EBB}" cache="Slicer_fulfillment" caption="Fulfillment" columnCount="2" level="1" style="SlicerStyleDark6" rowHeight="257175"/>
  <slicer name="order_date (Year)" xr10:uid="{61110E77-2167-4526-A53F-486A87F9343E}" cache="Slicer_order_date__Year" caption="Year" columnCount="5"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K38"/>
  <sheetViews>
    <sheetView workbookViewId="0"/>
  </sheetViews>
  <sheetFormatPr defaultRowHeight="15" x14ac:dyDescent="0.25"/>
  <cols>
    <col min="1" max="1" width="14.85546875" bestFit="1" customWidth="1"/>
    <col min="2" max="2" width="24.140625" bestFit="1" customWidth="1"/>
    <col min="3" max="3" width="10.7109375" bestFit="1" customWidth="1"/>
    <col min="4" max="4" width="12.85546875" bestFit="1" customWidth="1"/>
    <col min="5" max="5" width="19.42578125" bestFit="1" customWidth="1"/>
    <col min="6" max="6" width="11.85546875" bestFit="1" customWidth="1"/>
    <col min="7" max="7" width="10.5703125" bestFit="1" customWidth="1"/>
    <col min="8" max="8" width="9.140625" customWidth="1"/>
    <col min="9" max="9" width="11.85546875" bestFit="1" customWidth="1"/>
    <col min="10" max="10" width="9.140625" customWidth="1"/>
    <col min="11" max="11" width="5.5703125" bestFit="1" customWidth="1"/>
    <col min="13" max="13" width="10.5703125" bestFit="1" customWidth="1"/>
    <col min="15" max="15" width="11.85546875" bestFit="1" customWidth="1"/>
    <col min="17" max="17" width="9.5703125" bestFit="1" customWidth="1"/>
  </cols>
  <sheetData>
    <row r="1" spans="1:11" ht="15.75" thickBot="1" x14ac:dyDescent="0.3">
      <c r="A1" s="1" t="s">
        <v>1</v>
      </c>
      <c r="B1" t="s">
        <v>4</v>
      </c>
      <c r="D1" s="1" t="s">
        <v>1</v>
      </c>
      <c r="E1" t="s">
        <v>4</v>
      </c>
      <c r="G1" s="12" t="s">
        <v>4</v>
      </c>
      <c r="H1" s="10"/>
      <c r="I1" s="12" t="s">
        <v>0</v>
      </c>
      <c r="J1" s="10"/>
      <c r="K1" s="12" t="s">
        <v>27</v>
      </c>
    </row>
    <row r="2" spans="1:11" ht="15.75" thickTop="1" x14ac:dyDescent="0.25">
      <c r="A2" t="s">
        <v>2</v>
      </c>
      <c r="B2" s="2">
        <v>183532.19000000009</v>
      </c>
      <c r="D2" t="s">
        <v>2</v>
      </c>
      <c r="E2" s="2">
        <v>183532.19000000009</v>
      </c>
      <c r="G2" s="11" t="str">
        <f>TEXT(SUM(B2:B3),"$#,##, K")</f>
        <v>$202 K</v>
      </c>
      <c r="H2" s="10"/>
      <c r="I2" s="13">
        <f>SUM(B6:B7)</f>
        <v>100</v>
      </c>
      <c r="J2" s="10"/>
      <c r="K2" s="14">
        <f>SUM(B2:B3)/I2</f>
        <v>2017.711700000001</v>
      </c>
    </row>
    <row r="3" spans="1:11" x14ac:dyDescent="0.25">
      <c r="A3" t="s">
        <v>3</v>
      </c>
      <c r="B3" s="2">
        <v>18238.98</v>
      </c>
      <c r="D3" t="s">
        <v>3</v>
      </c>
      <c r="E3" s="2">
        <v>18238.98</v>
      </c>
    </row>
    <row r="5" spans="1:11" x14ac:dyDescent="0.25">
      <c r="A5" s="1" t="s">
        <v>1</v>
      </c>
      <c r="B5" t="s">
        <v>0</v>
      </c>
      <c r="D5" s="1" t="s">
        <v>1</v>
      </c>
      <c r="E5" t="s">
        <v>0</v>
      </c>
    </row>
    <row r="6" spans="1:11" x14ac:dyDescent="0.25">
      <c r="A6" t="s">
        <v>2</v>
      </c>
      <c r="B6">
        <v>83</v>
      </c>
      <c r="D6" t="s">
        <v>2</v>
      </c>
      <c r="E6">
        <v>83</v>
      </c>
    </row>
    <row r="7" spans="1:11" x14ac:dyDescent="0.25">
      <c r="A7" t="s">
        <v>3</v>
      </c>
      <c r="B7">
        <v>17</v>
      </c>
      <c r="D7" t="s">
        <v>3</v>
      </c>
      <c r="E7">
        <v>17</v>
      </c>
    </row>
    <row r="9" spans="1:11" x14ac:dyDescent="0.25">
      <c r="A9" s="1" t="s">
        <v>1</v>
      </c>
      <c r="B9" t="s">
        <v>5</v>
      </c>
      <c r="D9" s="1" t="s">
        <v>1</v>
      </c>
      <c r="E9" t="s">
        <v>5</v>
      </c>
    </row>
    <row r="10" spans="1:11" x14ac:dyDescent="0.25">
      <c r="A10" t="s">
        <v>2</v>
      </c>
      <c r="B10" s="3">
        <v>2211.231204819278</v>
      </c>
      <c r="D10" t="s">
        <v>2</v>
      </c>
      <c r="E10" s="3">
        <v>2211.231204819278</v>
      </c>
    </row>
    <row r="11" spans="1:11" x14ac:dyDescent="0.25">
      <c r="A11" t="s">
        <v>3</v>
      </c>
      <c r="B11" s="3">
        <v>1072.8811764705881</v>
      </c>
      <c r="D11" t="s">
        <v>3</v>
      </c>
      <c r="E11" s="3">
        <v>1072.8811764705881</v>
      </c>
    </row>
    <row r="13" spans="1:11" x14ac:dyDescent="0.25">
      <c r="A13" s="1" t="s">
        <v>25</v>
      </c>
      <c r="B13" t="s">
        <v>26</v>
      </c>
      <c r="C13" t="s">
        <v>4</v>
      </c>
    </row>
    <row r="14" spans="1:11" x14ac:dyDescent="0.25">
      <c r="A14">
        <v>1371011</v>
      </c>
      <c r="B14">
        <v>7</v>
      </c>
      <c r="C14" s="2">
        <v>18600.5</v>
      </c>
    </row>
    <row r="15" spans="1:11" x14ac:dyDescent="0.25">
      <c r="A15">
        <v>1599043</v>
      </c>
      <c r="B15">
        <v>5</v>
      </c>
      <c r="C15" s="2">
        <v>14432.88</v>
      </c>
    </row>
    <row r="16" spans="1:11" x14ac:dyDescent="0.25">
      <c r="A16">
        <v>1885025</v>
      </c>
      <c r="B16">
        <v>2</v>
      </c>
      <c r="C16" s="2">
        <v>9713.7199999999993</v>
      </c>
    </row>
    <row r="17" spans="1:8" x14ac:dyDescent="0.25">
      <c r="A17">
        <v>1812007</v>
      </c>
      <c r="B17">
        <v>2</v>
      </c>
      <c r="C17" s="2">
        <v>7291.6</v>
      </c>
    </row>
    <row r="18" spans="1:8" x14ac:dyDescent="0.25">
      <c r="A18">
        <v>1321003</v>
      </c>
      <c r="B18">
        <v>3</v>
      </c>
      <c r="C18" s="2">
        <v>6275.4</v>
      </c>
    </row>
    <row r="20" spans="1:8" x14ac:dyDescent="0.25">
      <c r="A20" s="1" t="s">
        <v>24</v>
      </c>
      <c r="B20" t="s">
        <v>19</v>
      </c>
      <c r="C20" t="s">
        <v>4</v>
      </c>
    </row>
    <row r="21" spans="1:8" x14ac:dyDescent="0.25">
      <c r="A21" t="s">
        <v>20</v>
      </c>
      <c r="B21">
        <v>308</v>
      </c>
      <c r="C21" s="2">
        <v>88319.260000000009</v>
      </c>
    </row>
    <row r="22" spans="1:8" x14ac:dyDescent="0.25">
      <c r="A22" t="s">
        <v>21</v>
      </c>
      <c r="B22">
        <v>321</v>
      </c>
      <c r="C22" s="2">
        <v>66181.599999999991</v>
      </c>
    </row>
    <row r="23" spans="1:8" x14ac:dyDescent="0.25">
      <c r="A23" t="s">
        <v>22</v>
      </c>
      <c r="B23">
        <v>58</v>
      </c>
      <c r="C23" s="2">
        <v>22210.78</v>
      </c>
    </row>
    <row r="24" spans="1:8" x14ac:dyDescent="0.25">
      <c r="A24" t="s">
        <v>23</v>
      </c>
      <c r="B24">
        <v>73</v>
      </c>
      <c r="C24" s="2">
        <v>25059.529999999995</v>
      </c>
      <c r="H24" s="10"/>
    </row>
    <row r="26" spans="1:8" ht="15.75" thickBot="1" x14ac:dyDescent="0.3">
      <c r="A26" s="1" t="s">
        <v>6</v>
      </c>
      <c r="B26" t="s">
        <v>4</v>
      </c>
      <c r="D26" s="8" t="str" cm="1">
        <f t="array" ref="D26:E26">A26:B26</f>
        <v>order_month</v>
      </c>
      <c r="E26" s="9" t="str">
        <v>Total Sales</v>
      </c>
    </row>
    <row r="27" spans="1:8" ht="15.75" thickTop="1" x14ac:dyDescent="0.25">
      <c r="A27" t="s">
        <v>10</v>
      </c>
      <c r="B27" s="2">
        <v>28659.55</v>
      </c>
      <c r="D27" s="6" t="str" cm="1">
        <f t="array" ref="D27:D38">{"Jan";"Feb";"Mar";"Apr";"May";"Jun";"Jul";"Aug";"Sep";"Oct";"Nov";"Dec"}</f>
        <v>Jan</v>
      </c>
      <c r="E27" s="7" cm="1">
        <f t="array" ref="E27:E38">_xlfn.XLOOKUP(_xlfn.ANCHORARRAY(D27),A27:A38,B27:B38,0)</f>
        <v>28659.55</v>
      </c>
    </row>
    <row r="28" spans="1:8" x14ac:dyDescent="0.25">
      <c r="A28" t="s">
        <v>9</v>
      </c>
      <c r="B28" s="2">
        <v>22365.11</v>
      </c>
      <c r="D28" s="4" t="str">
        <v>Feb</v>
      </c>
      <c r="E28" s="5">
        <v>22365.11</v>
      </c>
    </row>
    <row r="29" spans="1:8" x14ac:dyDescent="0.25">
      <c r="A29" t="s">
        <v>12</v>
      </c>
      <c r="B29" s="2">
        <v>2990.86</v>
      </c>
      <c r="D29" s="4" t="str">
        <v>Mar</v>
      </c>
      <c r="E29" s="5">
        <v>2990.86</v>
      </c>
    </row>
    <row r="30" spans="1:8" x14ac:dyDescent="0.25">
      <c r="A30" t="s">
        <v>7</v>
      </c>
      <c r="B30" s="2">
        <v>2412</v>
      </c>
      <c r="D30" s="4" t="str">
        <v>Apr</v>
      </c>
      <c r="E30" s="5">
        <v>2412</v>
      </c>
    </row>
    <row r="31" spans="1:8" x14ac:dyDescent="0.25">
      <c r="A31" t="s">
        <v>14</v>
      </c>
      <c r="B31" s="2">
        <v>14843.009999999998</v>
      </c>
      <c r="D31" s="4" t="str">
        <v>May</v>
      </c>
      <c r="E31" s="5">
        <v>14843.009999999998</v>
      </c>
    </row>
    <row r="32" spans="1:8" x14ac:dyDescent="0.25">
      <c r="A32" t="s">
        <v>11</v>
      </c>
      <c r="B32" s="2">
        <v>17507.03</v>
      </c>
      <c r="D32" s="4" t="str">
        <v>Jun</v>
      </c>
      <c r="E32" s="5">
        <v>17507.03</v>
      </c>
    </row>
    <row r="33" spans="1:5" x14ac:dyDescent="0.25">
      <c r="A33" t="s">
        <v>15</v>
      </c>
      <c r="B33" s="2">
        <v>7360.15</v>
      </c>
      <c r="D33" s="4" t="str">
        <v>Jul</v>
      </c>
      <c r="E33" s="5">
        <v>7360.15</v>
      </c>
    </row>
    <row r="34" spans="1:5" x14ac:dyDescent="0.25">
      <c r="A34" t="s">
        <v>16</v>
      </c>
      <c r="B34" s="2">
        <v>10677.21</v>
      </c>
      <c r="D34" s="4" t="str">
        <v>Aug</v>
      </c>
      <c r="E34" s="5">
        <v>10677.21</v>
      </c>
    </row>
    <row r="35" spans="1:5" x14ac:dyDescent="0.25">
      <c r="A35" t="s">
        <v>17</v>
      </c>
      <c r="B35" s="2">
        <v>4298.92</v>
      </c>
      <c r="D35" s="4" t="str">
        <v>Sep</v>
      </c>
      <c r="E35" s="5">
        <v>4298.92</v>
      </c>
    </row>
    <row r="36" spans="1:5" x14ac:dyDescent="0.25">
      <c r="A36" t="s">
        <v>18</v>
      </c>
      <c r="B36" s="2">
        <v>43862.19</v>
      </c>
      <c r="D36" s="4" t="str">
        <v>Oct</v>
      </c>
      <c r="E36" s="5">
        <v>43862.19</v>
      </c>
    </row>
    <row r="37" spans="1:5" x14ac:dyDescent="0.25">
      <c r="A37" t="s">
        <v>13</v>
      </c>
      <c r="B37" s="2">
        <v>11899.4</v>
      </c>
      <c r="D37" s="4" t="str">
        <v>Nov</v>
      </c>
      <c r="E37" s="5">
        <v>11899.4</v>
      </c>
    </row>
    <row r="38" spans="1:5" x14ac:dyDescent="0.25">
      <c r="A38" t="s">
        <v>8</v>
      </c>
      <c r="B38" s="2">
        <v>34895.74</v>
      </c>
      <c r="D38" s="4" t="str">
        <v>Dec</v>
      </c>
      <c r="E38" s="5">
        <v>34895.74</v>
      </c>
    </row>
  </sheetData>
  <pageMargins left="0.7" right="0.7" top="0.75" bottom="0.75" header="0.3" footer="0.3"/>
  <pageSetup orientation="portrait" horizontalDpi="300" verticalDpi="3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election activeCell="Z1" sqref="Z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45EF-E105-4A3E-A77C-6D3139280E41}">
  <dimension ref="A1"/>
  <sheetViews>
    <sheetView showGridLines="0" workbookViewId="0"/>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CDAC0066-E79D-4982-A4A2-4BE3324EE30F}">
  <ds:schemaRefs/>
</ds:datastoreItem>
</file>

<file path=customXml/itemProps2.xml><?xml version="1.0" encoding="utf-8"?>
<ds:datastoreItem xmlns:ds="http://schemas.openxmlformats.org/officeDocument/2006/customXml" ds:itemID="{86168C8C-04CF-4B4F-A0A4-A9BB1F0D25EC}">
  <ds:schemaRefs/>
</ds:datastoreItem>
</file>

<file path=customXml/itemProps3.xml><?xml version="1.0" encoding="utf-8"?>
<ds:datastoreItem xmlns:ds="http://schemas.openxmlformats.org/officeDocument/2006/customXml" ds:itemID="{13BE74AD-FF2E-48BA-9207-F7C463BAFE22}">
  <ds:schemaRefs/>
</ds:datastoreItem>
</file>

<file path=customXml/itemProps4.xml><?xml version="1.0" encoding="utf-8"?>
<ds:datastoreItem xmlns:ds="http://schemas.openxmlformats.org/officeDocument/2006/customXml" ds:itemID="{793A13D6-51FA-49A9-86B8-67E60A18A2FC}">
  <ds:schemaRefs/>
</ds:datastoreItem>
</file>

<file path=customXml/itemProps5.xml><?xml version="1.0" encoding="utf-8"?>
<ds:datastoreItem xmlns:ds="http://schemas.openxmlformats.org/officeDocument/2006/customXml" ds:itemID="{5B5917AE-878A-4E80-9B36-7B01D7C918CE}">
  <ds:schemaRefs/>
</ds:datastoreItem>
</file>

<file path=customXml/itemProps6.xml><?xml version="1.0" encoding="utf-8"?>
<ds:datastoreItem xmlns:ds="http://schemas.openxmlformats.org/officeDocument/2006/customXml" ds:itemID="{7B52A5BA-DA7A-4B9F-AD51-06A58F31DD79}">
  <ds:schemaRefs/>
</ds:datastoreItem>
</file>

<file path=customXml/itemProps7.xml><?xml version="1.0" encoding="utf-8"?>
<ds:datastoreItem xmlns:ds="http://schemas.openxmlformats.org/officeDocument/2006/customXml" ds:itemID="{E416AED7-5093-48B3-8A97-0CC1A1D57DB0}">
  <ds:schemaRefs/>
</ds:datastoreItem>
</file>

<file path=customXml/itemProps8.xml><?xml version="1.0" encoding="utf-8"?>
<ds:datastoreItem xmlns:ds="http://schemas.openxmlformats.org/officeDocument/2006/customXml" ds:itemID="{34FEC13A-F686-41F2-AAF4-F10453BD13BF}">
  <ds:schemaRefs/>
</ds:datastoreItem>
</file>

<file path=customXml/itemProps9.xml><?xml version="1.0" encoding="utf-8"?>
<ds:datastoreItem xmlns:ds="http://schemas.openxmlformats.org/officeDocument/2006/customXml" ds:itemID="{4F3F0092-B3D1-4FE8-887E-97BBBA66688B}">
  <ds:schemaRefs/>
</ds:datastoreItem>
</file>

<file path=customXml/itemProps10.xml><?xml version="1.0" encoding="utf-8"?>
<ds:datastoreItem xmlns:ds="http://schemas.openxmlformats.org/officeDocument/2006/customXml" ds:itemID="{E2C10CE7-A73D-4C46-B596-444B6AB256B9}">
  <ds:schemaRefs/>
</ds:datastoreItem>
</file>

<file path=customXml/itemProps11.xml><?xml version="1.0" encoding="utf-8"?>
<ds:datastoreItem xmlns:ds="http://schemas.openxmlformats.org/officeDocument/2006/customXml" ds:itemID="{1783E6EE-9BC4-40A1-85FF-0E380E79E22D}">
  <ds:schemaRefs/>
</ds:datastoreItem>
</file>

<file path=customXml/itemProps12.xml><?xml version="1.0" encoding="utf-8"?>
<ds:datastoreItem xmlns:ds="http://schemas.openxmlformats.org/officeDocument/2006/customXml" ds:itemID="{19427215-6828-45F6-8126-F24E2CD355E6}">
  <ds:schemaRefs/>
</ds:datastoreItem>
</file>

<file path=customXml/itemProps13.xml><?xml version="1.0" encoding="utf-8"?>
<ds:datastoreItem xmlns:ds="http://schemas.openxmlformats.org/officeDocument/2006/customXml" ds:itemID="{C4180AC7-A71C-402B-9F34-AC7D36CA97E2}">
  <ds:schemaRefs/>
</ds:datastoreItem>
</file>

<file path=customXml/itemProps14.xml><?xml version="1.0" encoding="utf-8"?>
<ds:datastoreItem xmlns:ds="http://schemas.openxmlformats.org/officeDocument/2006/customXml" ds:itemID="{5485CCE5-5E1F-4E6F-A512-8B46027B0017}">
  <ds:schemaRefs/>
</ds:datastoreItem>
</file>

<file path=customXml/itemProps15.xml><?xml version="1.0" encoding="utf-8"?>
<ds:datastoreItem xmlns:ds="http://schemas.openxmlformats.org/officeDocument/2006/customXml" ds:itemID="{BCC5C49E-8DCE-44D8-BFE2-75EE837B0276}">
  <ds:schemaRefs/>
</ds:datastoreItem>
</file>

<file path=customXml/itemProps16.xml><?xml version="1.0" encoding="utf-8"?>
<ds:datastoreItem xmlns:ds="http://schemas.openxmlformats.org/officeDocument/2006/customXml" ds:itemID="{081D70B1-38C8-4C0F-8D76-B219C4DB57A6}">
  <ds:schemaRefs/>
</ds:datastoreItem>
</file>

<file path=customXml/itemProps17.xml><?xml version="1.0" encoding="utf-8"?>
<ds:datastoreItem xmlns:ds="http://schemas.openxmlformats.org/officeDocument/2006/customXml" ds:itemID="{2ADC1A88-2E63-4624-AB5F-028BC8C56582}">
  <ds:schemaRefs/>
</ds:datastoreItem>
</file>

<file path=customXml/itemProps18.xml><?xml version="1.0" encoding="utf-8"?>
<ds:datastoreItem xmlns:ds="http://schemas.openxmlformats.org/officeDocument/2006/customXml" ds:itemID="{FB660593-3827-4799-8AD0-E8C963F09571}">
  <ds:schemaRefs>
    <ds:schemaRef ds:uri="http://schemas.microsoft.com/DataMashup"/>
  </ds:schemaRefs>
</ds:datastoreItem>
</file>

<file path=customXml/itemProps19.xml><?xml version="1.0" encoding="utf-8"?>
<ds:datastoreItem xmlns:ds="http://schemas.openxmlformats.org/officeDocument/2006/customXml" ds:itemID="{713CEDAD-D09C-4531-A174-51539F2EF9D9}">
  <ds:schemaRefs/>
</ds:datastoreItem>
</file>

<file path=customXml/itemProps20.xml><?xml version="1.0" encoding="utf-8"?>
<ds:datastoreItem xmlns:ds="http://schemas.openxmlformats.org/officeDocument/2006/customXml" ds:itemID="{C3A2E7FA-3FCD-4A10-9807-C3AD92BF8FCD}">
  <ds:schemaRefs/>
</ds:datastoreItem>
</file>

<file path=customXml/itemProps21.xml><?xml version="1.0" encoding="utf-8"?>
<ds:datastoreItem xmlns:ds="http://schemas.openxmlformats.org/officeDocument/2006/customXml" ds:itemID="{B8925F53-2E7E-481C-8545-D4CBB6D3FC10}">
  <ds:schemaRefs/>
</ds:datastoreItem>
</file>

<file path=customXml/itemProps22.xml><?xml version="1.0" encoding="utf-8"?>
<ds:datastoreItem xmlns:ds="http://schemas.openxmlformats.org/officeDocument/2006/customXml" ds:itemID="{64AB481B-2871-43C6-A225-185E3EE45844}">
  <ds:schemaRefs/>
</ds:datastoreItem>
</file>

<file path=customXml/itemProps23.xml><?xml version="1.0" encoding="utf-8"?>
<ds:datastoreItem xmlns:ds="http://schemas.openxmlformats.org/officeDocument/2006/customXml" ds:itemID="{0D02EC0C-9B97-491F-AEBA-46688D352142}">
  <ds:schemaRefs/>
</ds:datastoreItem>
</file>

<file path=customXml/itemProps24.xml><?xml version="1.0" encoding="utf-8"?>
<ds:datastoreItem xmlns:ds="http://schemas.openxmlformats.org/officeDocument/2006/customXml" ds:itemID="{CDECFD2A-9BC2-4C3B-AECC-C4DEE8D36675}">
  <ds:schemaRefs/>
</ds:datastoreItem>
</file>

<file path=customXml/itemProps25.xml><?xml version="1.0" encoding="utf-8"?>
<ds:datastoreItem xmlns:ds="http://schemas.openxmlformats.org/officeDocument/2006/customXml" ds:itemID="{4A2BAA44-12B1-4732-BA7D-31316EE6A09C}">
  <ds:schemaRefs/>
</ds:datastoreItem>
</file>

<file path=customXml/itemProps26.xml><?xml version="1.0" encoding="utf-8"?>
<ds:datastoreItem xmlns:ds="http://schemas.openxmlformats.org/officeDocument/2006/customXml" ds:itemID="{1A36C36B-F599-4488-B40F-FF0BD302D84A}">
  <ds:schemaRefs/>
</ds:datastoreItem>
</file>

<file path=customXml/itemProps27.xml><?xml version="1.0" encoding="utf-8"?>
<ds:datastoreItem xmlns:ds="http://schemas.openxmlformats.org/officeDocument/2006/customXml" ds:itemID="{28027775-697F-40F7-9288-FBA2874AAD05}">
  <ds:schemaRefs/>
</ds:datastoreItem>
</file>

<file path=customXml/itemProps28.xml><?xml version="1.0" encoding="utf-8"?>
<ds:datastoreItem xmlns:ds="http://schemas.openxmlformats.org/officeDocument/2006/customXml" ds:itemID="{3DE0C541-6E62-4813-947E-33D1926D39D9}">
  <ds:schemaRefs/>
</ds:datastoreItem>
</file>

<file path=customXml/itemProps29.xml><?xml version="1.0" encoding="utf-8"?>
<ds:datastoreItem xmlns:ds="http://schemas.openxmlformats.org/officeDocument/2006/customXml" ds:itemID="{D4C2BCBB-22BE-4694-9DC3-13B6248812A2}">
  <ds:schemaRefs/>
</ds:datastoreItem>
</file>

<file path=customXml/itemProps30.xml><?xml version="1.0" encoding="utf-8"?>
<ds:datastoreItem xmlns:ds="http://schemas.openxmlformats.org/officeDocument/2006/customXml" ds:itemID="{04EB0A2C-05CD-481C-BBC4-8B48067EBA3E}">
  <ds:schemaRefs/>
</ds:datastoreItem>
</file>

<file path=customXml/itemProps31.xml><?xml version="1.0" encoding="utf-8"?>
<ds:datastoreItem xmlns:ds="http://schemas.openxmlformats.org/officeDocument/2006/customXml" ds:itemID="{A24A173C-1E8E-4611-A21D-463A5FE1CBFD}">
  <ds:schemaRefs/>
</ds:datastoreItem>
</file>

<file path=customXml/itemProps32.xml><?xml version="1.0" encoding="utf-8"?>
<ds:datastoreItem xmlns:ds="http://schemas.openxmlformats.org/officeDocument/2006/customXml" ds:itemID="{B88DFBFA-799D-45AB-B2C7-5635B67C437F}">
  <ds:schemaRefs/>
</ds:datastoreItem>
</file>

<file path=customXml/itemProps33.xml><?xml version="1.0" encoding="utf-8"?>
<ds:datastoreItem xmlns:ds="http://schemas.openxmlformats.org/officeDocument/2006/customXml" ds:itemID="{EE402F54-D214-4EB9-8CFB-C3CC49B244E7}">
  <ds:schemaRefs/>
</ds:datastoreItem>
</file>

<file path=customXml/itemProps34.xml><?xml version="1.0" encoding="utf-8"?>
<ds:datastoreItem xmlns:ds="http://schemas.openxmlformats.org/officeDocument/2006/customXml" ds:itemID="{BDF82F8B-7AFB-41E7-89EE-BE0E2A0A3D6F}">
  <ds:schemaRefs/>
</ds:datastoreItem>
</file>

<file path=customXml/itemProps35.xml><?xml version="1.0" encoding="utf-8"?>
<ds:datastoreItem xmlns:ds="http://schemas.openxmlformats.org/officeDocument/2006/customXml" ds:itemID="{6C1EE8C6-EB06-4F3F-A503-AD3DAABFF4D1}">
  <ds:schemaRefs/>
</ds:datastoreItem>
</file>

<file path=customXml/itemProps36.xml><?xml version="1.0" encoding="utf-8"?>
<ds:datastoreItem xmlns:ds="http://schemas.openxmlformats.org/officeDocument/2006/customXml" ds:itemID="{98A34E08-2C93-444B-8F20-71F545CE673C}">
  <ds:schemaRefs/>
</ds:datastoreItem>
</file>

<file path=customXml/itemProps37.xml><?xml version="1.0" encoding="utf-8"?>
<ds:datastoreItem xmlns:ds="http://schemas.openxmlformats.org/officeDocument/2006/customXml" ds:itemID="{839BA25F-677E-4585-932B-1DA18708C7C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2018 MoM Growth Anomoly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cp:lastPrinted>2026-04-18T11:17:11Z</cp:lastPrinted>
  <dcterms:created xsi:type="dcterms:W3CDTF">2026-03-30T14:08:49Z</dcterms:created>
  <dcterms:modified xsi:type="dcterms:W3CDTF">2026-04-25T20:21:53Z</dcterms:modified>
</cp:coreProperties>
</file>