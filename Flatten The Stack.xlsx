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1"/>
  <workbookPr hidePivotFieldList="1" defaultThemeVersion="202300"/>
  <mc:AlternateContent xmlns:mc="http://schemas.openxmlformats.org/markup-compatibility/2006">
    <mc:Choice Requires="x15">
      <x15ac:absPath xmlns:x15ac="http://schemas.microsoft.com/office/spreadsheetml/2010/11/ac" url="https://d.docs.live.net/190cc22740fbed76/1.) PLANS/1.) Studies/1.) Maven Analytics/6.) Data Drills/2.) Intermediate/Flatten the Stack/"/>
    </mc:Choice>
  </mc:AlternateContent>
  <xr:revisionPtr revIDLastSave="1572" documentId="13_ncr:1_{D2B2616F-88C3-475B-8CA1-1A4A74605421}" xr6:coauthVersionLast="47" xr6:coauthVersionMax="47" xr10:uidLastSave="{6C8D669D-5387-4501-B1D5-0A5E617C0246}"/>
  <bookViews>
    <workbookView xWindow="-120" yWindow="-120" windowWidth="29040" windowHeight="15720" firstSheet="1" activeTab="1" xr2:uid="{3CA7F268-9CE6-4C74-9247-443473D7312D}"/>
  </bookViews>
  <sheets>
    <sheet name="Pivot Tables" sheetId="1" state="hidden" r:id="rId1"/>
    <sheet name="Dashboard" sheetId="2" r:id="rId2"/>
    <sheet name="2018 MoM Growth Anomoly" sheetId="3" r:id="rId3"/>
  </sheets>
  <definedNames>
    <definedName name="_xlchart.v1.0" hidden="1">'Pivot Tables'!$D$27:$D$38</definedName>
    <definedName name="_xlchart.v1.1" hidden="1">'Pivot Tables'!$E$26</definedName>
    <definedName name="_xlchart.v1.2" hidden="1">'Pivot Tables'!$E$27:$E$38</definedName>
    <definedName name="ExternalData_1" localSheetId="0" hidden="1">'Pivot Tables'!#REF!</definedName>
    <definedName name="Slicer_fulfillment">#N/A</definedName>
    <definedName name="Slicer_order_date__Year">#N/A</definedName>
  </definedNames>
  <calcPr calcId="191029"/>
  <pivotCaches>
    <pivotCache cacheId="0" r:id="rId4"/>
    <pivotCache cacheId="1" r:id="rId5"/>
    <pivotCache cacheId="2" r:id="rId6"/>
    <pivotCache cacheId="49" r:id="rId7"/>
    <pivotCache cacheId="52" r:id="rId8"/>
    <pivotCache cacheId="55" r:id="rId9"/>
    <pivotCache cacheId="58" r:id="rId10"/>
    <pivotCache cacheId="61" r:id="rId11"/>
    <pivotCache cacheId="64" r:id="rId12"/>
  </pivotCaches>
  <extLst>
    <ext xmlns:x14="http://schemas.microsoft.com/office/spreadsheetml/2009/9/main" uri="{876F7934-8845-4945-9796-88D515C7AA90}">
      <x14:pivotCaches>
        <pivotCache cacheId="9" r:id="rId13"/>
        <pivotCache cacheId="10"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ormalized_sales_orders_5454b6c5-a6f7-48cd-8750-ccbf24a481ab" name="normalized_sales_orders" connection="Query - normalized_sales_orders"/>
          <x15:modelTable id="order_analysis_a63c3f66-5f73-46e2-bf92-5659e0ea3bd9" name="order_analysis" connection="Query - order_analysis"/>
          <x15:modelTable id="sales_orders_c11a70b4-b1ca-44b3-940a-e717449e58a2" name="sales_orders" connection="Query - sales_orders"/>
        </x15:modelTables>
        <x15:modelRelationships>
          <x15:modelRelationship fromTable="normalized_sales_orders" fromColumn="order_number" toTable="sales_orders" toColumn="order_number"/>
          <x15:modelRelationship fromTable="normalized_sales_orders" fromColumn="order_number" toTable="order_analysis" toColumn="order_number"/>
        </x15:modelRelationships>
        <x15:extLst>
          <ext xmlns:x16="http://schemas.microsoft.com/office/spreadsheetml/2014/11/main" uri="{9835A34E-60A6-4A7C-AAB8-D5F71C897F49}">
            <x16:modelTimeGroupings>
              <x16:modelTimeGrouping tableName="sales_order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7" i="1" l="1" a="1"/>
  <c r="D27" i="1" a="1"/>
  <c r="D26" i="1" a="1"/>
  <c r="G2" i="1"/>
  <c r="I2" i="1"/>
  <c r="K2" i="1" l="1"/>
  <c r="E27" i="1"/>
  <c r="D27" i="1"/>
  <c r="D2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0003CF-BE8B-4421-B68A-7D5CC11F779F}" name="Query - normalized_sales_orders" description="Connection to the 'normalized_sales_orders' query in the workbook." type="100" refreshedVersion="8" minRefreshableVersion="5">
    <extLst>
      <ext xmlns:x15="http://schemas.microsoft.com/office/spreadsheetml/2010/11/main" uri="{DE250136-89BD-433C-8126-D09CA5730AF9}">
        <x15:connection id="12a49e05-bc09-4b3a-86b4-fbe6113ea2dd"/>
      </ext>
    </extLst>
  </connection>
  <connection id="2" xr16:uid="{3EAC65AC-DB23-4471-9936-B2A27CC991EA}" name="Query - order_analysis" description="Connection to the 'order_analysis' query in the workbook." type="100" refreshedVersion="8" minRefreshableVersion="5">
    <extLst>
      <ext xmlns:x15="http://schemas.microsoft.com/office/spreadsheetml/2010/11/main" uri="{DE250136-89BD-433C-8126-D09CA5730AF9}">
        <x15:connection id="7d0433aa-e1ed-4322-bc9a-c30cce275256"/>
      </ext>
    </extLst>
  </connection>
  <connection id="3" xr16:uid="{BA58D2D1-DCEE-4BFA-8293-356D8E0E707C}" name="Query - sales_orders" description="Connection to the 'sales_orders' query in the workbook." type="100" refreshedVersion="8" minRefreshableVersion="5">
    <extLst>
      <ext xmlns:x15="http://schemas.microsoft.com/office/spreadsheetml/2010/11/main" uri="{DE250136-89BD-433C-8126-D09CA5730AF9}">
        <x15:connection id="f61ca0db-c394-4464-8d12-15a10bab4f36"/>
      </ext>
    </extLst>
  </connection>
  <connection id="4" xr16:uid="{1D8D73DA-6846-44EF-A96E-DD3DBE6D557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<sst xmlns="http://schemas.openxmlformats.org/spreadsheetml/2006/main" count="51" uniqueCount="28">
  <si>
    <t>Total Orders</t>
  </si>
  <si>
    <t>fulfillment</t>
  </si>
  <si>
    <t>In store</t>
  </si>
  <si>
    <t>Online</t>
  </si>
  <si>
    <t>Total Sales</t>
  </si>
  <si>
    <t>Average Order Value</t>
  </si>
  <si>
    <t>order_month</t>
  </si>
  <si>
    <t>Apr</t>
  </si>
  <si>
    <t>Dec</t>
  </si>
  <si>
    <t>Feb</t>
  </si>
  <si>
    <t>Jan</t>
  </si>
  <si>
    <t>Jun</t>
  </si>
  <si>
    <t>Mar</t>
  </si>
  <si>
    <t>Nov</t>
  </si>
  <si>
    <t>May</t>
  </si>
  <si>
    <t>Jul</t>
  </si>
  <si>
    <t>Aug</t>
  </si>
  <si>
    <t>Sep</t>
  </si>
  <si>
    <t>Oct</t>
  </si>
  <si>
    <t>Total Quantity Purchased</t>
  </si>
  <si>
    <t>1-2</t>
  </si>
  <si>
    <t>3-4</t>
  </si>
  <si>
    <t>5-6</t>
  </si>
  <si>
    <t>7-8</t>
  </si>
  <si>
    <t>num_products</t>
  </si>
  <si>
    <t>order_number</t>
  </si>
  <si>
    <t>Total Products Purchased</t>
  </si>
  <si>
    <t>AOV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</si>
</sst>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quot;$&quot;#,##0"/>
  </numFmts>
  <fonts count="1" x14ac:knownFonts="1">
    <font>
      <sz val="11"/>
      <color theme="1"/>
      <name val="Aptos Narrow"/>
      <family val="2"/>
      <scheme val="minor"/>
    </font>
  </fonts>
  <fills count="2">
    <fill>
      <patternFill patternType="none"/>
    </fill>
    <fill>
      <patternFill patternType="gray125"/>
    </fill>
  </fills>
  <borders count="9">
    <border>
      <left/>
      <right/>
      <top/>
      <bottom/>
      <diagonal/>
    </border>
    <border>
      <left style="thick">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ck">
        <color indexed="64"/>
      </left>
      <right style="thin">
        <color indexed="64"/>
      </right>
      <top/>
      <bottom style="thin">
        <color indexed="64"/>
      </bottom>
      <diagonal/>
    </border>
    <border>
      <left style="thin">
        <color indexed="64"/>
      </left>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0" fontId="0" fillId="0" borderId="0" xfId="0" pivotButton="1"/>
    <xf numFmtId="164" fontId="0" fillId="0" borderId="0" xfId="0" applyNumberFormat="1"/>
    <xf numFmtId="3" fontId="0" fillId="0" borderId="0" xfId="0" applyNumberFormat="1"/>
    <xf numFmtId="0" fontId="0" fillId="0" borderId="2" xfId="0" applyBorder="1"/>
    <xf numFmtId="165" fontId="0" fillId="0" borderId="1" xfId="0" applyNumberFormat="1" applyBorder="1"/>
    <xf numFmtId="0" fontId="0" fillId="0" borderId="3" xfId="0" applyBorder="1"/>
    <xf numFmtId="165" fontId="0" fillId="0" borderId="4" xfId="0" applyNumberFormat="1" applyBorder="1"/>
    <xf numFmtId="0" fontId="0" fillId="0" borderId="5" xfId="0" applyBorder="1"/>
    <xf numFmtId="0" fontId="0" fillId="0" borderId="6" xfId="0" applyBorder="1"/>
    <xf numFmtId="0" fontId="0" fillId="0" borderId="0" xfId="0" applyAlignment="1">
      <alignment horizontal="left"/>
    </xf>
    <xf numFmtId="0" fontId="0" fillId="0" borderId="7" xfId="0" applyBorder="1" applyAlignment="1">
      <alignment horizontal="center"/>
    </xf>
    <xf numFmtId="3" fontId="0" fillId="0" borderId="8" xfId="0" applyNumberFormat="1" applyBorder="1" applyAlignment="1">
      <alignment horizontal="center"/>
    </xf>
    <xf numFmtId="0" fontId="0" fillId="0" borderId="8" xfId="0" applyBorder="1" applyAlignment="1">
      <alignment horizontal="center"/>
    </xf>
    <xf numFmtId="164" fontId="0" fillId="0" borderId="8" xfId="0" applyNumberFormat="1" applyBorder="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55" Type="http://schemas.openxmlformats.org/officeDocument/2006/relationships/customXml" Target="../customXml/item32.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6.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8" Type="http://schemas.openxmlformats.org/officeDocument/2006/relationships/customXml" Target="../customXml/item35.xml"/><Relationship Id="rId5"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56" Type="http://schemas.openxmlformats.org/officeDocument/2006/relationships/customXml" Target="../customXml/item33.xml"/><Relationship Id="rId8" Type="http://schemas.openxmlformats.org/officeDocument/2006/relationships/pivotCacheDefinition" Target="pivotCache/pivotCacheDefinition5.xml"/><Relationship Id="rId51" Type="http://schemas.openxmlformats.org/officeDocument/2006/relationships/customXml" Target="../customXml/item28.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59" Type="http://schemas.openxmlformats.org/officeDocument/2006/relationships/customXml" Target="../customXml/item36.xml"/><Relationship Id="rId20" Type="http://schemas.openxmlformats.org/officeDocument/2006/relationships/sharedStrings" Target="sharedStrings.xml"/><Relationship Id="rId41" Type="http://schemas.openxmlformats.org/officeDocument/2006/relationships/customXml" Target="../customXml/item18.xml"/><Relationship Id="rId54"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57" Type="http://schemas.openxmlformats.org/officeDocument/2006/relationships/customXml" Target="../customXml/item34.xml"/><Relationship Id="rId10" Type="http://schemas.openxmlformats.org/officeDocument/2006/relationships/pivotCacheDefinition" Target="pivotCache/pivotCacheDefinition7.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60" Type="http://schemas.openxmlformats.org/officeDocument/2006/relationships/customXml" Target="../customXml/item37.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[Flatten The Stack.xlsx]Pivot Tables!ProductsPurchased</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solidFill>
                  <a:sysClr val="windowText" lastClr="000000"/>
                </a:solidFill>
              </a:rPr>
              <a:t>Product Purchasing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noFill/>
            <a:round/>
          </a:ln>
          <a:effectLst/>
        </c:spPr>
        <c:marker>
          <c:symbol val="circle"/>
          <c:size val="11"/>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circle"/>
          <c:size val="11"/>
          <c:spPr>
            <a:solidFill>
              <a:schemeClr val="accent1"/>
            </a:solidFill>
            <a:ln w="9525">
              <a:solidFill>
                <a:schemeClr val="accent1"/>
              </a:solidFill>
            </a:ln>
            <a:effectLst/>
          </c:spPr>
        </c:marker>
        <c:dLbl>
          <c:idx val="0"/>
          <c:layout>
            <c:manualLayout>
              <c:x val="-2.6274028629856852E-2"/>
              <c:y val="-4.82978890169586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1.6359918200408998E-3"/>
              <c:y val="7.31919650054276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noFill/>
            <a:round/>
          </a:ln>
          <a:effectLst/>
        </c:spPr>
        <c:marker>
          <c:symbol val="circle"/>
          <c:size val="11"/>
          <c:spPr>
            <a:solidFill>
              <a:schemeClr val="accent1"/>
            </a:solidFill>
            <a:ln w="9525">
              <a:solidFill>
                <a:schemeClr val="accent1"/>
              </a:solidFill>
            </a:ln>
            <a:effectLst/>
          </c:spPr>
        </c:marker>
        <c:dLbl>
          <c:idx val="0"/>
          <c:layout>
            <c:manualLayout>
              <c:x val="-2.463803680981607E-2"/>
              <c:y val="-5.16270604491026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pivotFmt>
      <c:pivotFmt>
        <c:idx val="6"/>
        <c:spPr>
          <a:solidFill>
            <a:schemeClr val="accent6"/>
          </a:solidFill>
          <a:ln>
            <a:noFill/>
          </a:ln>
          <a:effectLst/>
        </c:spPr>
      </c:pivotFmt>
      <c:pivotFmt>
        <c:idx val="7"/>
        <c:spPr>
          <a:solidFill>
            <a:schemeClr val="accent1"/>
          </a:solidFill>
          <a:ln w="28575" cap="rnd">
            <a:noFill/>
            <a:round/>
          </a:ln>
          <a:effectLst/>
        </c:spPr>
        <c:marker>
          <c:symbol val="circle"/>
          <c:size val="11"/>
          <c:spPr>
            <a:solidFill>
              <a:schemeClr val="accent1"/>
            </a:solidFill>
            <a:ln w="9525">
              <a:solidFill>
                <a:schemeClr val="accent1"/>
              </a:solidFill>
            </a:ln>
            <a:effectLst/>
          </c:spPr>
        </c:marker>
      </c:pivotFmt>
      <c:pivotFmt>
        <c:idx val="8"/>
        <c:spPr>
          <a:solidFill>
            <a:schemeClr val="accent1"/>
          </a:solidFill>
          <a:ln w="28575" cap="rnd">
            <a:noFill/>
            <a:round/>
          </a:ln>
          <a:effectLst/>
        </c:spPr>
        <c:marker>
          <c:symbol val="circle"/>
          <c:size val="11"/>
          <c:spPr>
            <a:solidFill>
              <a:schemeClr val="accent1"/>
            </a:solidFill>
            <a:ln w="9525">
              <a:solidFill>
                <a:schemeClr val="accent1"/>
              </a:solidFill>
            </a:ln>
            <a:effectLst/>
          </c:spPr>
        </c:marker>
      </c:pivotFmt>
      <c:pivotFmt>
        <c:idx val="9"/>
        <c:spPr>
          <a:solidFill>
            <a:schemeClr val="accent1"/>
          </a:solidFill>
          <a:ln w="28575" cap="rnd">
            <a:noFill/>
            <a:round/>
          </a:ln>
          <a:effectLst/>
        </c:spPr>
        <c:marker>
          <c:symbol val="circle"/>
          <c:size val="11"/>
          <c:spPr>
            <a:solidFill>
              <a:schemeClr val="accent1"/>
            </a:solidFill>
            <a:ln w="9525">
              <a:solidFill>
                <a:schemeClr val="accent1"/>
              </a:solidFill>
            </a:ln>
            <a:effectLst/>
          </c:spPr>
        </c:marker>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noFill/>
            <a:round/>
          </a:ln>
          <a:effectLst/>
        </c:spPr>
        <c:marker>
          <c:symbol val="circle"/>
          <c:size val="11"/>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noFill/>
            <a:round/>
          </a:ln>
          <a:effectLst/>
        </c:spPr>
        <c:marker>
          <c:symbol val="circle"/>
          <c:size val="11"/>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Tables'!$C$20</c:f>
              <c:strCache>
                <c:ptCount val="1"/>
                <c:pt idx="0">
                  <c:v>Total Sales</c:v>
                </c:pt>
              </c:strCache>
            </c:strRef>
          </c:tx>
          <c:spPr>
            <a:solidFill>
              <a:schemeClr val="accent6"/>
            </a:solidFill>
            <a:ln>
              <a:noFill/>
            </a:ln>
            <a:effectLst/>
          </c:spPr>
          <c:invertIfNegative val="0"/>
          <c:cat>
            <c:strRef>
              <c:f>'Pivot Tables'!$A$21:$A$24</c:f>
              <c:strCache>
                <c:ptCount val="4"/>
                <c:pt idx="0">
                  <c:v>1-2</c:v>
                </c:pt>
                <c:pt idx="1">
                  <c:v>3-4</c:v>
                </c:pt>
                <c:pt idx="2">
                  <c:v>5-6</c:v>
                </c:pt>
                <c:pt idx="3">
                  <c:v>7-8</c:v>
                </c:pt>
              </c:strCache>
            </c:strRef>
          </c:cat>
          <c:val>
            <c:numRef>
              <c:f>'Pivot Tables'!$C$21:$C$24</c:f>
              <c:numCache>
                <c:formatCode>\$#,##0;\(\$#,##0\);\$#,##0</c:formatCode>
                <c:ptCount val="4"/>
                <c:pt idx="0">
                  <c:v>88319.260000000009</c:v>
                </c:pt>
                <c:pt idx="1">
                  <c:v>66181.599999999991</c:v>
                </c:pt>
                <c:pt idx="2">
                  <c:v>22210.78</c:v>
                </c:pt>
                <c:pt idx="3">
                  <c:v>25059.529999999995</c:v>
                </c:pt>
              </c:numCache>
            </c:numRef>
          </c:val>
          <c:extLst>
            <c:ext xmlns:c16="http://schemas.microsoft.com/office/drawing/2014/chart" uri="{C3380CC4-5D6E-409C-BE32-E72D297353CC}">
              <c16:uniqueId val="{00000002-437F-4697-8E83-5C87E06A35C4}"/>
            </c:ext>
          </c:extLst>
        </c:ser>
        <c:dLbls>
          <c:showLegendKey val="0"/>
          <c:showVal val="0"/>
          <c:showCatName val="0"/>
          <c:showSerName val="0"/>
          <c:showPercent val="0"/>
          <c:showBubbleSize val="0"/>
        </c:dLbls>
        <c:gapWidth val="219"/>
        <c:axId val="1990157775"/>
        <c:axId val="1990152975"/>
      </c:barChart>
      <c:lineChart>
        <c:grouping val="stacked"/>
        <c:varyColors val="0"/>
        <c:ser>
          <c:idx val="0"/>
          <c:order val="0"/>
          <c:tx>
            <c:strRef>
              <c:f>'Pivot Tables'!$B$20</c:f>
              <c:strCache>
                <c:ptCount val="1"/>
                <c:pt idx="0">
                  <c:v>Total Quantity Purchased</c:v>
                </c:pt>
              </c:strCache>
            </c:strRef>
          </c:tx>
          <c:spPr>
            <a:ln w="28575" cap="rnd">
              <a:noFill/>
              <a:round/>
            </a:ln>
            <a:effectLst/>
          </c:spPr>
          <c:marker>
            <c:symbol val="circle"/>
            <c:size val="11"/>
            <c:spPr>
              <a:solidFill>
                <a:schemeClr val="accent1"/>
              </a:solidFill>
              <a:ln w="9525">
                <a:solidFill>
                  <a:schemeClr val="accent1"/>
                </a:solidFill>
              </a:ln>
              <a:effectLst/>
            </c:spPr>
          </c:marker>
          <c:cat>
            <c:strRef>
              <c:f>'Pivot Tables'!$A$21:$A$24</c:f>
              <c:strCache>
                <c:ptCount val="4"/>
                <c:pt idx="0">
                  <c:v>1-2</c:v>
                </c:pt>
                <c:pt idx="1">
                  <c:v>3-4</c:v>
                </c:pt>
                <c:pt idx="2">
                  <c:v>5-6</c:v>
                </c:pt>
                <c:pt idx="3">
                  <c:v>7-8</c:v>
                </c:pt>
              </c:strCache>
            </c:strRef>
          </c:cat>
          <c:val>
            <c:numRef>
              <c:f>'Pivot Tables'!$B$21:$B$24</c:f>
              <c:numCache>
                <c:formatCode>General</c:formatCode>
                <c:ptCount val="4"/>
                <c:pt idx="0">
                  <c:v>308</c:v>
                </c:pt>
                <c:pt idx="1">
                  <c:v>321</c:v>
                </c:pt>
                <c:pt idx="2">
                  <c:v>58</c:v>
                </c:pt>
                <c:pt idx="3">
                  <c:v>73</c:v>
                </c:pt>
              </c:numCache>
            </c:numRef>
          </c:val>
          <c:smooth val="0"/>
          <c:extLst>
            <c:ext xmlns:c16="http://schemas.microsoft.com/office/drawing/2014/chart" uri="{C3380CC4-5D6E-409C-BE32-E72D297353CC}">
              <c16:uniqueId val="{00000000-437F-4697-8E83-5C87E06A35C4}"/>
            </c:ext>
          </c:extLst>
        </c:ser>
        <c:dLbls>
          <c:showLegendKey val="0"/>
          <c:showVal val="0"/>
          <c:showCatName val="0"/>
          <c:showSerName val="0"/>
          <c:showPercent val="0"/>
          <c:showBubbleSize val="0"/>
        </c:dLbls>
        <c:marker val="1"/>
        <c:smooth val="0"/>
        <c:axId val="1743191232"/>
        <c:axId val="1743207552"/>
      </c:lineChart>
      <c:catAx>
        <c:axId val="19901577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Total Products Purchased</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152975"/>
        <c:crosses val="autoZero"/>
        <c:auto val="1"/>
        <c:lblAlgn val="ctr"/>
        <c:lblOffset val="100"/>
        <c:noMultiLvlLbl val="0"/>
      </c:catAx>
      <c:valAx>
        <c:axId val="1990152975"/>
        <c:scaling>
          <c:orientation val="minMax"/>
          <c:max val="90000"/>
        </c:scaling>
        <c:delete val="0"/>
        <c:axPos val="l"/>
        <c:majorGridlines>
          <c:spPr>
            <a:ln w="9525" cap="flat" cmpd="sng" algn="ctr">
              <a:solidFill>
                <a:schemeClr val="tx1">
                  <a:lumMod val="15000"/>
                  <a:lumOff val="85000"/>
                </a:schemeClr>
              </a:solidFill>
              <a:round/>
            </a:ln>
            <a:effectLst/>
          </c:spPr>
        </c:majorGridlines>
        <c:numFmt formatCode="[=0]&quot;$&quot;#,##0;&quot;$&quot;#,##0,&quot; K&quot;" sourceLinked="0"/>
        <c:majorTickMark val="out"/>
        <c:minorTickMark val="none"/>
        <c:tickLblPos val="nextTo"/>
        <c:spPr>
          <a:noFill/>
          <a:ln>
            <a:solidFill>
              <a:srgbClr val="A5A5A5"/>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157775"/>
        <c:crosses val="autoZero"/>
        <c:crossBetween val="between"/>
      </c:valAx>
      <c:valAx>
        <c:axId val="1743207552"/>
        <c:scaling>
          <c:orientation val="minMax"/>
          <c:max val="360"/>
          <c:min val="0"/>
        </c:scaling>
        <c:delete val="0"/>
        <c:axPos val="r"/>
        <c:numFmt formatCode="General" sourceLinked="0"/>
        <c:majorTickMark val="out"/>
        <c:minorTickMark val="none"/>
        <c:tickLblPos val="nextTo"/>
        <c:spPr>
          <a:noFill/>
          <a:ln>
            <a:solidFill>
              <a:srgbClr val="A5A5A5"/>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191232"/>
        <c:crosses val="max"/>
        <c:crossBetween val="between"/>
        <c:majorUnit val="40"/>
      </c:valAx>
      <c:catAx>
        <c:axId val="1743191232"/>
        <c:scaling>
          <c:orientation val="minMax"/>
        </c:scaling>
        <c:delete val="1"/>
        <c:axPos val="b"/>
        <c:numFmt formatCode="General" sourceLinked="1"/>
        <c:majorTickMark val="out"/>
        <c:minorTickMark val="none"/>
        <c:tickLblPos val="nextTo"/>
        <c:crossAx val="174320755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[Flatten The Stack.xlsx]Pivot Tables!Orders</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solidFill>
                  <a:sysClr val="windowText" lastClr="000000"/>
                </a:solidFill>
              </a:rPr>
              <a:t>Top</a:t>
            </a:r>
            <a:r>
              <a:rPr lang="en-US" baseline="0">
                <a:solidFill>
                  <a:sysClr val="windowText" lastClr="000000"/>
                </a:solidFill>
              </a:rPr>
              <a:t> 5 Orders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noFill/>
            <a:round/>
          </a:ln>
          <a:effectLst/>
        </c:spPr>
        <c:marker>
          <c:symbol val="circle"/>
          <c:size val="11"/>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circle"/>
          <c:size val="11"/>
          <c:spPr>
            <a:solidFill>
              <a:schemeClr val="accent1"/>
            </a:solidFill>
            <a:ln w="9525">
              <a:solidFill>
                <a:schemeClr val="accent1"/>
              </a:solidFill>
            </a:ln>
            <a:effectLst/>
          </c:spPr>
        </c:marker>
        <c:dLbl>
          <c:idx val="0"/>
          <c:layout>
            <c:manualLayout>
              <c:x val="-2.6274028629856852E-2"/>
              <c:y val="-4.82978890169586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1.6359918200408998E-3"/>
              <c:y val="7.31919650054276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noFill/>
            <a:round/>
          </a:ln>
          <a:effectLst/>
        </c:spPr>
        <c:marker>
          <c:symbol val="circle"/>
          <c:size val="11"/>
          <c:spPr>
            <a:solidFill>
              <a:schemeClr val="accent1"/>
            </a:solidFill>
            <a:ln w="9525">
              <a:solidFill>
                <a:schemeClr val="accent1"/>
              </a:solidFill>
            </a:ln>
            <a:effectLst/>
          </c:spPr>
        </c:marker>
        <c:dLbl>
          <c:idx val="0"/>
          <c:layout>
            <c:manualLayout>
              <c:x val="-2.463803680981607E-2"/>
              <c:y val="-5.16270604491026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pivotFmt>
      <c:pivotFmt>
        <c:idx val="6"/>
        <c:spPr>
          <a:solidFill>
            <a:schemeClr val="accent6"/>
          </a:solidFill>
          <a:ln>
            <a:noFill/>
          </a:ln>
          <a:effectLst/>
        </c:spPr>
      </c:pivotFmt>
      <c:pivotFmt>
        <c:idx val="7"/>
        <c:spPr>
          <a:solidFill>
            <a:schemeClr val="accent1"/>
          </a:solidFill>
          <a:ln w="28575" cap="rnd">
            <a:noFill/>
            <a:round/>
          </a:ln>
          <a:effectLst/>
        </c:spPr>
        <c:marker>
          <c:symbol val="circle"/>
          <c:size val="11"/>
          <c:spPr>
            <a:solidFill>
              <a:schemeClr val="accent1"/>
            </a:solidFill>
            <a:ln w="9525">
              <a:solidFill>
                <a:schemeClr val="accent1"/>
              </a:solidFill>
            </a:ln>
            <a:effectLst/>
          </c:spPr>
        </c:marker>
      </c:pivotFmt>
      <c:pivotFmt>
        <c:idx val="8"/>
        <c:spPr>
          <a:solidFill>
            <a:schemeClr val="accent1"/>
          </a:solidFill>
          <a:ln w="28575" cap="rnd">
            <a:noFill/>
            <a:round/>
          </a:ln>
          <a:effectLst/>
        </c:spPr>
        <c:marker>
          <c:symbol val="circle"/>
          <c:size val="11"/>
          <c:spPr>
            <a:solidFill>
              <a:schemeClr val="accent1"/>
            </a:solidFill>
            <a:ln w="9525">
              <a:solidFill>
                <a:schemeClr val="accent1"/>
              </a:solidFill>
            </a:ln>
            <a:effectLst/>
          </c:spPr>
        </c:marker>
      </c:pivotFmt>
      <c:pivotFmt>
        <c:idx val="9"/>
        <c:spPr>
          <a:solidFill>
            <a:schemeClr val="accent1"/>
          </a:solidFill>
          <a:ln w="28575" cap="rnd">
            <a:noFill/>
            <a:round/>
          </a:ln>
          <a:effectLst/>
        </c:spPr>
        <c:marker>
          <c:symbol val="circle"/>
          <c:size val="11"/>
          <c:spPr>
            <a:solidFill>
              <a:schemeClr val="accent1"/>
            </a:solidFill>
            <a:ln w="9525">
              <a:solidFill>
                <a:schemeClr val="accent1"/>
              </a:solidFill>
            </a:ln>
            <a:effectLst/>
          </c:spPr>
        </c:marker>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noFill/>
            <a:round/>
          </a:ln>
          <a:effectLst/>
        </c:spPr>
        <c:marker>
          <c:symbol val="circle"/>
          <c:size val="11"/>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noFill/>
            <a:round/>
          </a:ln>
          <a:effectLst/>
        </c:spPr>
        <c:marker>
          <c:symbol val="circle"/>
          <c:size val="11"/>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noFill/>
            <a:round/>
          </a:ln>
          <a:effectLst/>
        </c:spPr>
        <c:marker>
          <c:symbol val="circle"/>
          <c:size val="11"/>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noFill/>
            <a:round/>
          </a:ln>
          <a:effectLst/>
        </c:spPr>
        <c:marker>
          <c:symbol val="circle"/>
          <c:size val="11"/>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noFill/>
            <a:round/>
          </a:ln>
          <a:effectLst/>
        </c:spPr>
        <c:marker>
          <c:symbol val="circle"/>
          <c:size val="11"/>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Tables'!$C$13</c:f>
              <c:strCache>
                <c:ptCount val="1"/>
                <c:pt idx="0">
                  <c:v>Total Sales</c:v>
                </c:pt>
              </c:strCache>
            </c:strRef>
          </c:tx>
          <c:spPr>
            <a:solidFill>
              <a:schemeClr val="accent6"/>
            </a:solidFill>
            <a:ln>
              <a:noFill/>
            </a:ln>
            <a:effectLst/>
          </c:spPr>
          <c:invertIfNegative val="0"/>
          <c:cat>
            <c:strRef>
              <c:f>'Pivot Tables'!$A$14:$A$18</c:f>
              <c:strCache>
                <c:ptCount val="5"/>
                <c:pt idx="0">
                  <c:v>1371011</c:v>
                </c:pt>
                <c:pt idx="1">
                  <c:v>1599043</c:v>
                </c:pt>
                <c:pt idx="2">
                  <c:v>1885025</c:v>
                </c:pt>
                <c:pt idx="3">
                  <c:v>1812007</c:v>
                </c:pt>
                <c:pt idx="4">
                  <c:v>1321003</c:v>
                </c:pt>
              </c:strCache>
            </c:strRef>
          </c:cat>
          <c:val>
            <c:numRef>
              <c:f>'Pivot Tables'!$C$14:$C$18</c:f>
              <c:numCache>
                <c:formatCode>\$#,##0;\(\$#,##0\);\$#,##0</c:formatCode>
                <c:ptCount val="5"/>
                <c:pt idx="0">
                  <c:v>18600.5</c:v>
                </c:pt>
                <c:pt idx="1">
                  <c:v>14432.88</c:v>
                </c:pt>
                <c:pt idx="2">
                  <c:v>9713.7199999999993</c:v>
                </c:pt>
                <c:pt idx="3">
                  <c:v>7291.6</c:v>
                </c:pt>
                <c:pt idx="4">
                  <c:v>6275.4</c:v>
                </c:pt>
              </c:numCache>
            </c:numRef>
          </c:val>
          <c:extLst>
            <c:ext xmlns:c16="http://schemas.microsoft.com/office/drawing/2014/chart" uri="{C3380CC4-5D6E-409C-BE32-E72D297353CC}">
              <c16:uniqueId val="{00000000-1254-4D95-B244-92E646308270}"/>
            </c:ext>
          </c:extLst>
        </c:ser>
        <c:dLbls>
          <c:showLegendKey val="0"/>
          <c:showVal val="0"/>
          <c:showCatName val="0"/>
          <c:showSerName val="0"/>
          <c:showPercent val="0"/>
          <c:showBubbleSize val="0"/>
        </c:dLbls>
        <c:gapWidth val="219"/>
        <c:axId val="1990157775"/>
        <c:axId val="1990152975"/>
      </c:barChart>
      <c:lineChart>
        <c:grouping val="stacked"/>
        <c:varyColors val="0"/>
        <c:ser>
          <c:idx val="0"/>
          <c:order val="0"/>
          <c:tx>
            <c:strRef>
              <c:f>'Pivot Tables'!$B$13</c:f>
              <c:strCache>
                <c:ptCount val="1"/>
                <c:pt idx="0">
                  <c:v>Total Products Purchased</c:v>
                </c:pt>
              </c:strCache>
            </c:strRef>
          </c:tx>
          <c:spPr>
            <a:ln w="28575" cap="rnd">
              <a:noFill/>
              <a:round/>
            </a:ln>
            <a:effectLst/>
          </c:spPr>
          <c:marker>
            <c:symbol val="circle"/>
            <c:size val="11"/>
            <c:spPr>
              <a:solidFill>
                <a:schemeClr val="accent1"/>
              </a:solidFill>
              <a:ln w="9525">
                <a:solidFill>
                  <a:schemeClr val="accent1"/>
                </a:solidFill>
              </a:ln>
              <a:effectLst/>
            </c:spPr>
          </c:marker>
          <c:cat>
            <c:strRef>
              <c:f>'Pivot Tables'!$A$14:$A$18</c:f>
              <c:strCache>
                <c:ptCount val="5"/>
                <c:pt idx="0">
                  <c:v>1371011</c:v>
                </c:pt>
                <c:pt idx="1">
                  <c:v>1599043</c:v>
                </c:pt>
                <c:pt idx="2">
                  <c:v>1885025</c:v>
                </c:pt>
                <c:pt idx="3">
                  <c:v>1812007</c:v>
                </c:pt>
                <c:pt idx="4">
                  <c:v>1321003</c:v>
                </c:pt>
              </c:strCache>
            </c:strRef>
          </c:cat>
          <c:val>
            <c:numRef>
              <c:f>'Pivot Tables'!$B$14:$B$18</c:f>
              <c:numCache>
                <c:formatCode>General</c:formatCode>
                <c:ptCount val="5"/>
                <c:pt idx="0">
                  <c:v>7</c:v>
                </c:pt>
                <c:pt idx="1">
                  <c:v>5</c:v>
                </c:pt>
                <c:pt idx="2">
                  <c:v>2</c:v>
                </c:pt>
                <c:pt idx="3">
                  <c:v>2</c:v>
                </c:pt>
                <c:pt idx="4">
                  <c:v>3</c:v>
                </c:pt>
              </c:numCache>
            </c:numRef>
          </c:val>
          <c:smooth val="0"/>
          <c:extLst>
            <c:ext xmlns:c16="http://schemas.microsoft.com/office/drawing/2014/chart" uri="{C3380CC4-5D6E-409C-BE32-E72D297353CC}">
              <c16:uniqueId val="{00000001-1254-4D95-B244-92E646308270}"/>
            </c:ext>
          </c:extLst>
        </c:ser>
        <c:dLbls>
          <c:showLegendKey val="0"/>
          <c:showVal val="0"/>
          <c:showCatName val="0"/>
          <c:showSerName val="0"/>
          <c:showPercent val="0"/>
          <c:showBubbleSize val="0"/>
        </c:dLbls>
        <c:marker val="1"/>
        <c:smooth val="0"/>
        <c:axId val="1743191232"/>
        <c:axId val="1743207552"/>
      </c:lineChart>
      <c:catAx>
        <c:axId val="19901577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Order</a:t>
                </a:r>
                <a:r>
                  <a:rPr lang="en-US" baseline="0"/>
                  <a:t> Number</a:t>
                </a:r>
                <a:endParaRPr lang="en-US"/>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152975"/>
        <c:crosses val="autoZero"/>
        <c:auto val="1"/>
        <c:lblAlgn val="ctr"/>
        <c:lblOffset val="100"/>
        <c:noMultiLvlLbl val="0"/>
      </c:catAx>
      <c:valAx>
        <c:axId val="1990152975"/>
        <c:scaling>
          <c:orientation val="minMax"/>
          <c:max val="20000"/>
        </c:scaling>
        <c:delete val="0"/>
        <c:axPos val="l"/>
        <c:majorGridlines>
          <c:spPr>
            <a:ln w="9525" cap="flat" cmpd="sng" algn="ctr">
              <a:solidFill>
                <a:schemeClr val="tx1">
                  <a:lumMod val="15000"/>
                  <a:lumOff val="85000"/>
                </a:schemeClr>
              </a:solidFill>
              <a:round/>
            </a:ln>
            <a:effectLst/>
          </c:spPr>
        </c:majorGridlines>
        <c:numFmt formatCode="[=0]&quot;$&quot;#,##0;&quot;$&quot;#,##0,&quot; K&quot;" sourceLinked="0"/>
        <c:majorTickMark val="out"/>
        <c:minorTickMark val="none"/>
        <c:tickLblPos val="nextTo"/>
        <c:spPr>
          <a:noFill/>
          <a:ln>
            <a:solidFill>
              <a:srgbClr val="A5A5A5"/>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157775"/>
        <c:crosses val="autoZero"/>
        <c:crossBetween val="between"/>
        <c:majorUnit val="2000"/>
      </c:valAx>
      <c:valAx>
        <c:axId val="1743207552"/>
        <c:scaling>
          <c:orientation val="minMax"/>
          <c:max val="10"/>
        </c:scaling>
        <c:delete val="0"/>
        <c:axPos val="r"/>
        <c:numFmt formatCode="General" sourceLinked="0"/>
        <c:majorTickMark val="out"/>
        <c:minorTickMark val="none"/>
        <c:tickLblPos val="nextTo"/>
        <c:spPr>
          <a:noFill/>
          <a:ln>
            <a:solidFill>
              <a:srgbClr val="A5A5A5"/>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191232"/>
        <c:crosses val="max"/>
        <c:crossBetween val="between"/>
        <c:majorUnit val="1"/>
      </c:valAx>
      <c:catAx>
        <c:axId val="1743191232"/>
        <c:scaling>
          <c:orientation val="minMax"/>
        </c:scaling>
        <c:delete val="1"/>
        <c:axPos val="b"/>
        <c:numFmt formatCode="General" sourceLinked="1"/>
        <c:majorTickMark val="out"/>
        <c:minorTickMark val="none"/>
        <c:tickLblPos val="nextTo"/>
        <c:crossAx val="174320755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[Flatten The Stack.xlsx]Pivot Tables!FulfillmentsTotalSalesPie</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Share</a:t>
            </a:r>
            <a:r>
              <a:rPr lang="en-US" baseline="0"/>
              <a:t> of Total Sales</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rgbClr val="5B9BD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70AD47"/>
          </a:solidFill>
          <a:ln w="19050">
            <a:solidFill>
              <a:srgbClr val="70AD47"/>
            </a:solidFill>
          </a:ln>
          <a:effectLst/>
        </c:spPr>
      </c:pivotFmt>
      <c:pivotFmt>
        <c:idx val="9"/>
        <c:spPr>
          <a:solidFill>
            <a:srgbClr val="5B9BD5"/>
          </a:solidFill>
          <a:ln w="19050">
            <a:solidFill>
              <a:srgbClr val="5B9BD5"/>
            </a:solidFill>
          </a:ln>
          <a:effectLst/>
        </c:spPr>
      </c:pivotFmt>
      <c:pivotFmt>
        <c:idx val="10"/>
        <c:spPr>
          <a:solidFill>
            <a:schemeClr val="accent1"/>
          </a:solidFill>
          <a:ln w="19050">
            <a:solidFill>
              <a:srgbClr val="5B9BD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70AD47"/>
          </a:solidFill>
          <a:ln w="19050">
            <a:solidFill>
              <a:srgbClr val="70AD47"/>
            </a:solidFill>
          </a:ln>
          <a:effectLst/>
        </c:spPr>
      </c:pivotFmt>
      <c:pivotFmt>
        <c:idx val="12"/>
        <c:spPr>
          <a:solidFill>
            <a:srgbClr val="5B9BD5"/>
          </a:solidFill>
          <a:ln w="19050">
            <a:solidFill>
              <a:srgbClr val="5B9BD5"/>
            </a:solidFill>
          </a:ln>
          <a:effectLst/>
        </c:spPr>
      </c:pivotFmt>
      <c:pivotFmt>
        <c:idx val="13"/>
        <c:spPr>
          <a:solidFill>
            <a:schemeClr val="accent1"/>
          </a:solidFill>
          <a:ln w="19050">
            <a:solidFill>
              <a:srgbClr val="5B9BD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70AD47"/>
          </a:solidFill>
          <a:ln w="19050">
            <a:solidFill>
              <a:srgbClr val="70AD47"/>
            </a:solidFill>
          </a:ln>
          <a:effectLst/>
        </c:spPr>
      </c:pivotFmt>
      <c:pivotFmt>
        <c:idx val="15"/>
        <c:spPr>
          <a:solidFill>
            <a:srgbClr val="5B9BD5"/>
          </a:solidFill>
          <a:ln w="19050">
            <a:solidFill>
              <a:srgbClr val="5B9BD5"/>
            </a:solidFill>
          </a:ln>
          <a:effectLst/>
        </c:spPr>
      </c:pivotFmt>
      <c:pivotFmt>
        <c:idx val="16"/>
        <c:spPr>
          <a:solidFill>
            <a:schemeClr val="accent1"/>
          </a:solidFill>
          <a:ln w="19050">
            <a:solidFill>
              <a:srgbClr val="5B9BD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70AD47"/>
          </a:solidFill>
          <a:ln w="19050">
            <a:solidFill>
              <a:srgbClr val="70AD47"/>
            </a:solidFill>
          </a:ln>
          <a:effectLst/>
        </c:spPr>
      </c:pivotFmt>
      <c:pivotFmt>
        <c:idx val="18"/>
        <c:spPr>
          <a:solidFill>
            <a:srgbClr val="5B9BD5"/>
          </a:solidFill>
          <a:ln w="19050">
            <a:solidFill>
              <a:srgbClr val="5B9BD5"/>
            </a:solidFill>
          </a:ln>
          <a:effectLst/>
        </c:spPr>
      </c:pivotFmt>
      <c:pivotFmt>
        <c:idx val="19"/>
        <c:spPr>
          <a:solidFill>
            <a:schemeClr val="accent1"/>
          </a:solidFill>
          <a:ln w="19050">
            <a:solidFill>
              <a:srgbClr val="5B9BD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0"/>
        <c:spPr>
          <a:solidFill>
            <a:srgbClr val="70AD47"/>
          </a:solidFill>
          <a:ln w="19050">
            <a:solidFill>
              <a:srgbClr val="70AD47"/>
            </a:solidFill>
          </a:ln>
          <a:effectLst/>
        </c:spPr>
      </c:pivotFmt>
      <c:pivotFmt>
        <c:idx val="21"/>
        <c:spPr>
          <a:solidFill>
            <a:srgbClr val="5B9BD5"/>
          </a:solidFill>
          <a:ln w="19050">
            <a:solidFill>
              <a:srgbClr val="5B9BD5"/>
            </a:solidFill>
          </a:ln>
          <a:effectLst/>
        </c:spPr>
      </c:pivotFmt>
    </c:pivotFmts>
    <c:plotArea>
      <c:layout/>
      <c:pieChart>
        <c:varyColors val="1"/>
        <c:ser>
          <c:idx val="0"/>
          <c:order val="0"/>
          <c:tx>
            <c:strRef>
              <c:f>'Pivot Tables'!$E$1</c:f>
              <c:strCache>
                <c:ptCount val="1"/>
                <c:pt idx="0">
                  <c:v>Total</c:v>
                </c:pt>
              </c:strCache>
            </c:strRef>
          </c:tx>
          <c:spPr>
            <a:ln>
              <a:solidFill>
                <a:srgbClr val="5B9BD5"/>
              </a:solidFill>
            </a:ln>
          </c:spPr>
          <c:dPt>
            <c:idx val="0"/>
            <c:bubble3D val="0"/>
            <c:spPr>
              <a:solidFill>
                <a:srgbClr val="70AD47"/>
              </a:solidFill>
              <a:ln w="19050">
                <a:solidFill>
                  <a:srgbClr val="70AD47"/>
                </a:solidFill>
              </a:ln>
              <a:effectLst/>
            </c:spPr>
            <c:extLst>
              <c:ext xmlns:c16="http://schemas.microsoft.com/office/drawing/2014/chart" uri="{C3380CC4-5D6E-409C-BE32-E72D297353CC}">
                <c16:uniqueId val="{00000001-C036-4A90-A1F2-B0BE0910DA76}"/>
              </c:ext>
            </c:extLst>
          </c:dPt>
          <c:dPt>
            <c:idx val="1"/>
            <c:bubble3D val="0"/>
            <c:spPr>
              <a:solidFill>
                <a:srgbClr val="5B9BD5"/>
              </a:solidFill>
              <a:ln w="19050">
                <a:solidFill>
                  <a:srgbClr val="5B9BD5"/>
                </a:solidFill>
              </a:ln>
              <a:effectLst/>
            </c:spPr>
            <c:extLst>
              <c:ext xmlns:c16="http://schemas.microsoft.com/office/drawing/2014/chart" uri="{C3380CC4-5D6E-409C-BE32-E72D297353CC}">
                <c16:uniqueId val="{00000003-C036-4A90-A1F2-B0BE0910DA7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Tables'!$D$2:$D$3</c:f>
              <c:strCache>
                <c:ptCount val="2"/>
                <c:pt idx="0">
                  <c:v>In store</c:v>
                </c:pt>
                <c:pt idx="1">
                  <c:v>Online</c:v>
                </c:pt>
              </c:strCache>
            </c:strRef>
          </c:cat>
          <c:val>
            <c:numRef>
              <c:f>'Pivot Tables'!$E$2:$E$3</c:f>
              <c:numCache>
                <c:formatCode>\$#,##0;\(\$#,##0\);\$#,##0</c:formatCode>
                <c:ptCount val="2"/>
                <c:pt idx="0">
                  <c:v>183532.19000000009</c:v>
                </c:pt>
                <c:pt idx="1">
                  <c:v>18238.98</c:v>
                </c:pt>
              </c:numCache>
            </c:numRef>
          </c:val>
          <c:extLst>
            <c:ext xmlns:c16="http://schemas.microsoft.com/office/drawing/2014/chart" uri="{C3380CC4-5D6E-409C-BE32-E72D297353CC}">
              <c16:uniqueId val="{00000004-C036-4A90-A1F2-B0BE0910DA7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[Flatten The Stack.xlsx]Pivot Tables!FulfillmentsTotalOrdersPie</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Share of Total Orders</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rgbClr val="5B9BD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70AD47"/>
          </a:solidFill>
          <a:ln w="19050">
            <a:solidFill>
              <a:srgbClr val="70AD47"/>
            </a:solidFill>
          </a:ln>
          <a:effectLst/>
        </c:spPr>
      </c:pivotFmt>
      <c:pivotFmt>
        <c:idx val="9"/>
        <c:spPr>
          <a:solidFill>
            <a:srgbClr val="5B9BD5"/>
          </a:solidFill>
          <a:ln w="19050">
            <a:solidFill>
              <a:srgbClr val="5B9BD5"/>
            </a:solidFill>
          </a:ln>
          <a:effectLst/>
        </c:spPr>
      </c:pivotFmt>
      <c:pivotFmt>
        <c:idx val="10"/>
        <c:spPr>
          <a:solidFill>
            <a:schemeClr val="accent1"/>
          </a:solidFill>
          <a:ln w="19050">
            <a:solidFill>
              <a:srgbClr val="5B9BD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70AD47"/>
          </a:solidFill>
          <a:ln w="19050">
            <a:solidFill>
              <a:srgbClr val="70AD47"/>
            </a:solidFill>
          </a:ln>
          <a:effectLst/>
        </c:spPr>
      </c:pivotFmt>
      <c:pivotFmt>
        <c:idx val="12"/>
        <c:spPr>
          <a:solidFill>
            <a:srgbClr val="5B9BD5"/>
          </a:solidFill>
          <a:ln w="19050">
            <a:solidFill>
              <a:srgbClr val="5B9BD5"/>
            </a:solidFill>
          </a:ln>
          <a:effectLst/>
        </c:spPr>
      </c:pivotFmt>
      <c:pivotFmt>
        <c:idx val="13"/>
        <c:spPr>
          <a:solidFill>
            <a:schemeClr val="accent1"/>
          </a:solidFill>
          <a:ln w="19050">
            <a:solidFill>
              <a:srgbClr val="5B9BD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70AD47"/>
          </a:solidFill>
          <a:ln w="19050">
            <a:solidFill>
              <a:srgbClr val="70AD47"/>
            </a:solidFill>
          </a:ln>
          <a:effectLst/>
        </c:spPr>
      </c:pivotFmt>
      <c:pivotFmt>
        <c:idx val="15"/>
        <c:spPr>
          <a:solidFill>
            <a:srgbClr val="5B9BD5"/>
          </a:solidFill>
          <a:ln w="19050">
            <a:solidFill>
              <a:srgbClr val="5B9BD5"/>
            </a:solidFill>
          </a:ln>
          <a:effectLst/>
        </c:spPr>
      </c:pivotFmt>
      <c:pivotFmt>
        <c:idx val="16"/>
        <c:spPr>
          <a:solidFill>
            <a:schemeClr val="accent1"/>
          </a:solidFill>
          <a:ln w="19050">
            <a:solidFill>
              <a:srgbClr val="5B9BD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70AD47"/>
          </a:solidFill>
          <a:ln w="19050">
            <a:solidFill>
              <a:srgbClr val="70AD47"/>
            </a:solidFill>
          </a:ln>
          <a:effectLst/>
        </c:spPr>
      </c:pivotFmt>
      <c:pivotFmt>
        <c:idx val="18"/>
        <c:spPr>
          <a:solidFill>
            <a:srgbClr val="5B9BD5"/>
          </a:solidFill>
          <a:ln w="19050">
            <a:solidFill>
              <a:srgbClr val="5B9BD5"/>
            </a:solidFill>
          </a:ln>
          <a:effectLst/>
        </c:spPr>
      </c:pivotFmt>
      <c:pivotFmt>
        <c:idx val="19"/>
        <c:spPr>
          <a:solidFill>
            <a:schemeClr val="accent1"/>
          </a:solidFill>
          <a:ln w="19050">
            <a:solidFill>
              <a:srgbClr val="5B9BD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0"/>
        <c:spPr>
          <a:solidFill>
            <a:srgbClr val="70AD47"/>
          </a:solidFill>
          <a:ln w="19050">
            <a:solidFill>
              <a:srgbClr val="70AD47"/>
            </a:solidFill>
          </a:ln>
          <a:effectLst/>
        </c:spPr>
      </c:pivotFmt>
      <c:pivotFmt>
        <c:idx val="21"/>
        <c:spPr>
          <a:solidFill>
            <a:srgbClr val="5B9BD5"/>
          </a:solidFill>
          <a:ln w="19050">
            <a:solidFill>
              <a:srgbClr val="5B9BD5"/>
            </a:solidFill>
          </a:ln>
          <a:effectLst/>
        </c:spPr>
      </c:pivotFmt>
      <c:pivotFmt>
        <c:idx val="22"/>
        <c:spPr>
          <a:solidFill>
            <a:schemeClr val="accent1"/>
          </a:solidFill>
          <a:ln w="19050">
            <a:solidFill>
              <a:srgbClr val="5B9BD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3"/>
        <c:spPr>
          <a:solidFill>
            <a:srgbClr val="70AD47"/>
          </a:solidFill>
          <a:ln w="19050">
            <a:solidFill>
              <a:srgbClr val="70AD47"/>
            </a:solidFill>
          </a:ln>
          <a:effectLst/>
        </c:spPr>
      </c:pivotFmt>
      <c:pivotFmt>
        <c:idx val="24"/>
        <c:spPr>
          <a:solidFill>
            <a:srgbClr val="5B9BD5"/>
          </a:solidFill>
          <a:ln w="19050">
            <a:solidFill>
              <a:srgbClr val="5B9BD5"/>
            </a:solidFill>
          </a:ln>
          <a:effectLst/>
        </c:spPr>
      </c:pivotFmt>
      <c:pivotFmt>
        <c:idx val="25"/>
        <c:spPr>
          <a:solidFill>
            <a:schemeClr val="accent1"/>
          </a:solidFill>
          <a:ln w="19050">
            <a:solidFill>
              <a:srgbClr val="5B9BD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6"/>
        <c:spPr>
          <a:solidFill>
            <a:srgbClr val="70AD47"/>
          </a:solidFill>
          <a:ln w="19050">
            <a:solidFill>
              <a:srgbClr val="70AD47"/>
            </a:solidFill>
          </a:ln>
          <a:effectLst/>
        </c:spPr>
      </c:pivotFmt>
      <c:pivotFmt>
        <c:idx val="27"/>
        <c:spPr>
          <a:solidFill>
            <a:srgbClr val="5B9BD5"/>
          </a:solidFill>
          <a:ln w="19050">
            <a:solidFill>
              <a:srgbClr val="5B9BD5"/>
            </a:solidFill>
          </a:ln>
          <a:effectLst/>
        </c:spPr>
      </c:pivotFmt>
      <c:pivotFmt>
        <c:idx val="28"/>
        <c:spPr>
          <a:solidFill>
            <a:schemeClr val="accent1"/>
          </a:solidFill>
          <a:ln w="19050">
            <a:solidFill>
              <a:srgbClr val="5B9BD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9"/>
        <c:spPr>
          <a:solidFill>
            <a:srgbClr val="70AD47"/>
          </a:solidFill>
          <a:ln w="19050">
            <a:solidFill>
              <a:srgbClr val="70AD47"/>
            </a:solidFill>
          </a:ln>
          <a:effectLst/>
        </c:spPr>
      </c:pivotFmt>
      <c:pivotFmt>
        <c:idx val="30"/>
        <c:spPr>
          <a:solidFill>
            <a:srgbClr val="5B9BD5"/>
          </a:solidFill>
          <a:ln w="19050">
            <a:solidFill>
              <a:srgbClr val="5B9BD5"/>
            </a:solidFill>
          </a:ln>
          <a:effectLst/>
        </c:spPr>
      </c:pivotFmt>
      <c:pivotFmt>
        <c:idx val="31"/>
        <c:spPr>
          <a:ln>
            <a:solidFill>
              <a:srgbClr val="5B9BD5"/>
            </a:solid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2"/>
        <c:spPr>
          <a:solidFill>
            <a:srgbClr val="70AD47"/>
          </a:solidFill>
          <a:ln w="19050">
            <a:solidFill>
              <a:srgbClr val="70AD47"/>
            </a:solidFill>
          </a:ln>
          <a:effectLst/>
        </c:spPr>
      </c:pivotFmt>
      <c:pivotFmt>
        <c:idx val="33"/>
        <c:spPr>
          <a:solidFill>
            <a:srgbClr val="5B9BD5"/>
          </a:solidFill>
          <a:ln w="19050">
            <a:solidFill>
              <a:srgbClr val="5B9BD5"/>
            </a:solidFill>
          </a:ln>
          <a:effectLst/>
        </c:spPr>
      </c:pivotFmt>
    </c:pivotFmts>
    <c:plotArea>
      <c:layout/>
      <c:pieChart>
        <c:varyColors val="1"/>
        <c:ser>
          <c:idx val="0"/>
          <c:order val="0"/>
          <c:tx>
            <c:strRef>
              <c:f>'Pivot Tables'!$E$5</c:f>
              <c:strCache>
                <c:ptCount val="1"/>
                <c:pt idx="0">
                  <c:v>Total</c:v>
                </c:pt>
              </c:strCache>
            </c:strRef>
          </c:tx>
          <c:spPr>
            <a:ln>
              <a:solidFill>
                <a:srgbClr val="5B9BD5"/>
              </a:solidFill>
            </a:ln>
          </c:spPr>
          <c:dPt>
            <c:idx val="0"/>
            <c:bubble3D val="0"/>
            <c:spPr>
              <a:solidFill>
                <a:srgbClr val="70AD47"/>
              </a:solidFill>
              <a:ln w="19050">
                <a:solidFill>
                  <a:srgbClr val="70AD47"/>
                </a:solidFill>
              </a:ln>
              <a:effectLst/>
            </c:spPr>
            <c:extLst>
              <c:ext xmlns:c16="http://schemas.microsoft.com/office/drawing/2014/chart" uri="{C3380CC4-5D6E-409C-BE32-E72D297353CC}">
                <c16:uniqueId val="{00000007-5B9B-4684-84B4-95B3F5FE70A2}"/>
              </c:ext>
            </c:extLst>
          </c:dPt>
          <c:dPt>
            <c:idx val="1"/>
            <c:bubble3D val="0"/>
            <c:spPr>
              <a:solidFill>
                <a:srgbClr val="5B9BD5"/>
              </a:solidFill>
              <a:ln w="19050">
                <a:solidFill>
                  <a:srgbClr val="5B9BD5"/>
                </a:solidFill>
              </a:ln>
              <a:effectLst/>
            </c:spPr>
            <c:extLst>
              <c:ext xmlns:c16="http://schemas.microsoft.com/office/drawing/2014/chart" uri="{C3380CC4-5D6E-409C-BE32-E72D297353CC}">
                <c16:uniqueId val="{00000009-5B9B-4684-84B4-95B3F5FE70A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Tables'!$D$6:$D$7</c:f>
              <c:strCache>
                <c:ptCount val="2"/>
                <c:pt idx="0">
                  <c:v>In store</c:v>
                </c:pt>
                <c:pt idx="1">
                  <c:v>Online</c:v>
                </c:pt>
              </c:strCache>
            </c:strRef>
          </c:cat>
          <c:val>
            <c:numRef>
              <c:f>'Pivot Tables'!$E$6:$E$7</c:f>
              <c:numCache>
                <c:formatCode>General</c:formatCode>
                <c:ptCount val="2"/>
                <c:pt idx="0">
                  <c:v>83</c:v>
                </c:pt>
                <c:pt idx="1">
                  <c:v>17</c:v>
                </c:pt>
              </c:numCache>
            </c:numRef>
          </c:val>
          <c:extLst>
            <c:ext xmlns:c16="http://schemas.microsoft.com/office/drawing/2014/chart" uri="{C3380CC4-5D6E-409C-BE32-E72D297353CC}">
              <c16:uniqueId val="{0000000A-5B9B-4684-84B4-95B3F5FE70A2}"/>
            </c:ext>
          </c:extLst>
        </c:ser>
        <c:dLbls>
          <c:dLblPos val="bestFit"/>
          <c:showLegendKey val="0"/>
          <c:showVal val="1"/>
          <c:showCatName val="0"/>
          <c:showSerName val="0"/>
          <c:showPercent val="0"/>
          <c:showBubbleSize val="0"/>
          <c:showLeaderLines val="1"/>
        </c:dLbls>
        <c:firstSliceAng val="0"/>
      </c:pie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[Flatten The Stack.xlsx]Pivot Tables!FulfillmentsAOVPie</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Share of AOV</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rgbClr val="5B9BD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70AD47"/>
          </a:solidFill>
          <a:ln w="19050">
            <a:solidFill>
              <a:srgbClr val="70AD47"/>
            </a:solidFill>
          </a:ln>
          <a:effectLst/>
        </c:spPr>
      </c:pivotFmt>
      <c:pivotFmt>
        <c:idx val="9"/>
        <c:spPr>
          <a:solidFill>
            <a:srgbClr val="5B9BD5"/>
          </a:solidFill>
          <a:ln w="19050">
            <a:solidFill>
              <a:srgbClr val="5B9BD5"/>
            </a:solidFill>
          </a:ln>
          <a:effectLst/>
        </c:spPr>
      </c:pivotFmt>
      <c:pivotFmt>
        <c:idx val="10"/>
        <c:spPr>
          <a:solidFill>
            <a:schemeClr val="accent1"/>
          </a:solidFill>
          <a:ln w="19050">
            <a:solidFill>
              <a:srgbClr val="5B9BD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70AD47"/>
          </a:solidFill>
          <a:ln w="19050">
            <a:solidFill>
              <a:srgbClr val="70AD47"/>
            </a:solidFill>
          </a:ln>
          <a:effectLst/>
        </c:spPr>
      </c:pivotFmt>
      <c:pivotFmt>
        <c:idx val="12"/>
        <c:spPr>
          <a:solidFill>
            <a:srgbClr val="5B9BD5"/>
          </a:solidFill>
          <a:ln w="19050">
            <a:solidFill>
              <a:srgbClr val="5B9BD5"/>
            </a:solidFill>
          </a:ln>
          <a:effectLst/>
        </c:spPr>
      </c:pivotFmt>
      <c:pivotFmt>
        <c:idx val="13"/>
        <c:spPr>
          <a:solidFill>
            <a:schemeClr val="accent1"/>
          </a:solidFill>
          <a:ln w="19050">
            <a:solidFill>
              <a:srgbClr val="5B9BD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70AD47"/>
          </a:solidFill>
          <a:ln w="19050">
            <a:solidFill>
              <a:srgbClr val="70AD47"/>
            </a:solidFill>
          </a:ln>
          <a:effectLst/>
        </c:spPr>
      </c:pivotFmt>
      <c:pivotFmt>
        <c:idx val="15"/>
        <c:spPr>
          <a:solidFill>
            <a:srgbClr val="5B9BD5"/>
          </a:solidFill>
          <a:ln w="19050">
            <a:solidFill>
              <a:srgbClr val="5B9BD5"/>
            </a:solidFill>
          </a:ln>
          <a:effectLst/>
        </c:spPr>
      </c:pivotFmt>
      <c:pivotFmt>
        <c:idx val="16"/>
        <c:spPr>
          <a:solidFill>
            <a:schemeClr val="accent1"/>
          </a:solidFill>
          <a:ln w="19050">
            <a:solidFill>
              <a:srgbClr val="5B9BD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70AD47"/>
          </a:solidFill>
          <a:ln w="19050">
            <a:solidFill>
              <a:srgbClr val="70AD47"/>
            </a:solidFill>
          </a:ln>
          <a:effectLst/>
        </c:spPr>
      </c:pivotFmt>
      <c:pivotFmt>
        <c:idx val="18"/>
        <c:spPr>
          <a:solidFill>
            <a:srgbClr val="5B9BD5"/>
          </a:solidFill>
          <a:ln w="19050">
            <a:solidFill>
              <a:srgbClr val="5B9BD5"/>
            </a:solidFill>
          </a:ln>
          <a:effectLst/>
        </c:spPr>
      </c:pivotFmt>
      <c:pivotFmt>
        <c:idx val="19"/>
        <c:spPr>
          <a:solidFill>
            <a:schemeClr val="accent1"/>
          </a:solidFill>
          <a:ln w="19050">
            <a:solidFill>
              <a:srgbClr val="5B9BD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0"/>
        <c:spPr>
          <a:solidFill>
            <a:srgbClr val="70AD47"/>
          </a:solidFill>
          <a:ln w="19050">
            <a:solidFill>
              <a:srgbClr val="70AD47"/>
            </a:solidFill>
          </a:ln>
          <a:effectLst/>
        </c:spPr>
      </c:pivotFmt>
      <c:pivotFmt>
        <c:idx val="21"/>
        <c:spPr>
          <a:solidFill>
            <a:srgbClr val="5B9BD5"/>
          </a:solidFill>
          <a:ln w="19050">
            <a:solidFill>
              <a:srgbClr val="5B9BD5"/>
            </a:solidFill>
          </a:ln>
          <a:effectLst/>
        </c:spPr>
      </c:pivotFmt>
      <c:pivotFmt>
        <c:idx val="22"/>
        <c:spPr>
          <a:solidFill>
            <a:schemeClr val="accent1"/>
          </a:solidFill>
          <a:ln w="19050">
            <a:solidFill>
              <a:srgbClr val="5B9BD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3"/>
        <c:spPr>
          <a:solidFill>
            <a:srgbClr val="70AD47"/>
          </a:solidFill>
          <a:ln w="19050">
            <a:solidFill>
              <a:srgbClr val="70AD47"/>
            </a:solidFill>
          </a:ln>
          <a:effectLst/>
        </c:spPr>
      </c:pivotFmt>
      <c:pivotFmt>
        <c:idx val="24"/>
        <c:spPr>
          <a:solidFill>
            <a:srgbClr val="5B9BD5"/>
          </a:solidFill>
          <a:ln w="19050">
            <a:solidFill>
              <a:srgbClr val="5B9BD5"/>
            </a:solidFill>
          </a:ln>
          <a:effectLst/>
        </c:spPr>
      </c:pivotFmt>
      <c:pivotFmt>
        <c:idx val="25"/>
        <c:spPr>
          <a:solidFill>
            <a:schemeClr val="accent1"/>
          </a:solidFill>
          <a:ln w="19050">
            <a:solidFill>
              <a:srgbClr val="5B9BD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6"/>
        <c:spPr>
          <a:solidFill>
            <a:srgbClr val="70AD47"/>
          </a:solidFill>
          <a:ln w="19050">
            <a:solidFill>
              <a:srgbClr val="70AD47"/>
            </a:solidFill>
          </a:ln>
          <a:effectLst/>
        </c:spPr>
      </c:pivotFmt>
      <c:pivotFmt>
        <c:idx val="27"/>
        <c:spPr>
          <a:solidFill>
            <a:srgbClr val="5B9BD5"/>
          </a:solidFill>
          <a:ln w="19050">
            <a:solidFill>
              <a:srgbClr val="5B9BD5"/>
            </a:solidFill>
          </a:ln>
          <a:effectLst/>
        </c:spPr>
      </c:pivotFmt>
      <c:pivotFmt>
        <c:idx val="28"/>
        <c:spPr>
          <a:solidFill>
            <a:schemeClr val="accent1"/>
          </a:solidFill>
          <a:ln w="19050">
            <a:solidFill>
              <a:srgbClr val="5B9BD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9"/>
        <c:spPr>
          <a:solidFill>
            <a:srgbClr val="70AD47"/>
          </a:solidFill>
          <a:ln w="19050">
            <a:solidFill>
              <a:srgbClr val="70AD47"/>
            </a:solidFill>
          </a:ln>
          <a:effectLst/>
        </c:spPr>
      </c:pivotFmt>
      <c:pivotFmt>
        <c:idx val="30"/>
        <c:spPr>
          <a:solidFill>
            <a:srgbClr val="5B9BD5"/>
          </a:solidFill>
          <a:ln w="19050">
            <a:solidFill>
              <a:srgbClr val="5B9BD5"/>
            </a:solidFill>
          </a:ln>
          <a:effectLst/>
        </c:spPr>
      </c:pivotFmt>
    </c:pivotFmts>
    <c:plotArea>
      <c:layout/>
      <c:pieChart>
        <c:varyColors val="1"/>
        <c:ser>
          <c:idx val="0"/>
          <c:order val="0"/>
          <c:tx>
            <c:strRef>
              <c:f>'Pivot Tables'!$E$9</c:f>
              <c:strCache>
                <c:ptCount val="1"/>
                <c:pt idx="0">
                  <c:v>Total</c:v>
                </c:pt>
              </c:strCache>
            </c:strRef>
          </c:tx>
          <c:spPr>
            <a:ln>
              <a:solidFill>
                <a:srgbClr val="5B9BD5"/>
              </a:solidFill>
            </a:ln>
          </c:spPr>
          <c:dPt>
            <c:idx val="0"/>
            <c:bubble3D val="0"/>
            <c:spPr>
              <a:solidFill>
                <a:srgbClr val="70AD47"/>
              </a:solidFill>
              <a:ln w="19050">
                <a:solidFill>
                  <a:srgbClr val="70AD47"/>
                </a:solidFill>
              </a:ln>
              <a:effectLst/>
            </c:spPr>
            <c:extLst>
              <c:ext xmlns:c16="http://schemas.microsoft.com/office/drawing/2014/chart" uri="{C3380CC4-5D6E-409C-BE32-E72D297353CC}">
                <c16:uniqueId val="{00000001-54F6-4A1B-9C9D-83FCAC6F8C33}"/>
              </c:ext>
            </c:extLst>
          </c:dPt>
          <c:dPt>
            <c:idx val="1"/>
            <c:bubble3D val="0"/>
            <c:spPr>
              <a:solidFill>
                <a:srgbClr val="5B9BD5"/>
              </a:solidFill>
              <a:ln w="19050">
                <a:solidFill>
                  <a:srgbClr val="5B9BD5"/>
                </a:solidFill>
              </a:ln>
              <a:effectLst/>
            </c:spPr>
            <c:extLst>
              <c:ext xmlns:c16="http://schemas.microsoft.com/office/drawing/2014/chart" uri="{C3380CC4-5D6E-409C-BE32-E72D297353CC}">
                <c16:uniqueId val="{00000003-54F6-4A1B-9C9D-83FCAC6F8C3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Tables'!$D$10:$D$11</c:f>
              <c:strCache>
                <c:ptCount val="2"/>
                <c:pt idx="0">
                  <c:v>In store</c:v>
                </c:pt>
                <c:pt idx="1">
                  <c:v>Online</c:v>
                </c:pt>
              </c:strCache>
            </c:strRef>
          </c:cat>
          <c:val>
            <c:numRef>
              <c:f>'Pivot Tables'!$E$10:$E$11</c:f>
              <c:numCache>
                <c:formatCode>#,##0</c:formatCode>
                <c:ptCount val="2"/>
                <c:pt idx="0">
                  <c:v>2211.231204819278</c:v>
                </c:pt>
                <c:pt idx="1">
                  <c:v>1072.8811764705881</c:v>
                </c:pt>
              </c:numCache>
            </c:numRef>
          </c:val>
          <c:extLst>
            <c:ext xmlns:c16="http://schemas.microsoft.com/office/drawing/2014/chart" uri="{C3380CC4-5D6E-409C-BE32-E72D297353CC}">
              <c16:uniqueId val="{00000004-54F6-4A1B-9C9D-83FCAC6F8C3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MoM Revenue Growth</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1400" b="1" i="0" u="none" strike="noStrike" baseline="0">
              <a:solidFill>
                <a:sysClr val="windowText" lastClr="000000"/>
              </a:solidFill>
              <a:latin typeface="Aptos Narrow" panose="02110004020202020204"/>
            </a:rPr>
            <a:t>MoM Revenue Growth</a:t>
          </a:r>
        </a:p>
      </cx:txPr>
    </cx:title>
    <cx:plotArea>
      <cx:plotAreaRegion>
        <cx:series layoutId="waterfall" uniqueId="{AA4C929E-B52B-48D8-9899-277A3B6B3E05}">
          <cx:tx>
            <cx:txData>
              <cx:f>_xlchart.v1.1</cx:f>
              <cx:v>Total Sales</cx:v>
            </cx:txData>
          </cx:tx>
          <cx:spPr>
            <a:solidFill>
              <a:schemeClr val="accent6"/>
            </a:solidFill>
          </cx:spPr>
          <cx:dataId val="0"/>
          <cx:layoutPr>
            <cx:subtotals/>
          </cx:layoutPr>
        </cx:series>
      </cx:plotAreaRegion>
      <cx:axis id="0">
        <cx:catScaling gapWidth="0.5"/>
        <cx:majorTickMarks type="out"/>
        <cx:tickLabels/>
      </cx:axis>
      <cx:axis id="1">
        <cx:valScaling/>
        <cx:majorGridlines/>
        <cx:majorTickMarks type="out"/>
        <cx:tickLabels/>
        <cx:numFmt formatCode="[=0]$#,##0;$#,##0,&quot; K&quot;" sourceLinked="0"/>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microsoft.com/office/2014/relationships/chartEx" Target="../charts/chartEx1.xml"/><Relationship Id="rId7"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3.xml"/><Relationship Id="rId5" Type="http://schemas.openxmlformats.org/officeDocument/2006/relationships/image" Target="../media/image2.sv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228601</xdr:colOff>
      <xdr:row>0</xdr:row>
      <xdr:rowOff>85726</xdr:rowOff>
    </xdr:from>
    <xdr:to>
      <xdr:col>23</xdr:col>
      <xdr:colOff>266700</xdr:colOff>
      <xdr:row>45</xdr:row>
      <xdr:rowOff>152399</xdr:rowOff>
    </xdr:to>
    <xdr:grpSp>
      <xdr:nvGrpSpPr>
        <xdr:cNvPr id="32" name="Group 31">
          <a:extLst>
            <a:ext uri="{FF2B5EF4-FFF2-40B4-BE49-F238E27FC236}">
              <a16:creationId xmlns:a16="http://schemas.microsoft.com/office/drawing/2014/main" id="{4E711784-2913-E25F-3031-CC63E8D372A3}"/>
            </a:ext>
          </a:extLst>
        </xdr:cNvPr>
        <xdr:cNvGrpSpPr/>
      </xdr:nvGrpSpPr>
      <xdr:grpSpPr>
        <a:xfrm>
          <a:off x="228601" y="85726"/>
          <a:ext cx="14058899" cy="8639173"/>
          <a:chOff x="95251" y="-314324"/>
          <a:chExt cx="14058899" cy="8639173"/>
        </a:xfrm>
      </xdr:grpSpPr>
      <xdr:grpSp>
        <xdr:nvGrpSpPr>
          <xdr:cNvPr id="21" name="Group 20">
            <a:extLst>
              <a:ext uri="{FF2B5EF4-FFF2-40B4-BE49-F238E27FC236}">
                <a16:creationId xmlns:a16="http://schemas.microsoft.com/office/drawing/2014/main" id="{C397D736-91B0-5D6B-1EF5-298C7B283F57}"/>
              </a:ext>
            </a:extLst>
          </xdr:cNvPr>
          <xdr:cNvGrpSpPr/>
        </xdr:nvGrpSpPr>
        <xdr:grpSpPr>
          <a:xfrm>
            <a:off x="123825" y="400050"/>
            <a:ext cx="14030325" cy="7924799"/>
            <a:chOff x="142875" y="476250"/>
            <a:chExt cx="14030325" cy="7924799"/>
          </a:xfrm>
        </xdr:grpSpPr>
        <xdr:grpSp>
          <xdr:nvGrpSpPr>
            <xdr:cNvPr id="8" name="Group 7">
              <a:extLst>
                <a:ext uri="{FF2B5EF4-FFF2-40B4-BE49-F238E27FC236}">
                  <a16:creationId xmlns:a16="http://schemas.microsoft.com/office/drawing/2014/main" id="{2A2A5E05-8FCB-636B-E4C2-23C6DA365E00}"/>
                </a:ext>
              </a:extLst>
            </xdr:cNvPr>
            <xdr:cNvGrpSpPr/>
          </xdr:nvGrpSpPr>
          <xdr:grpSpPr>
            <a:xfrm>
              <a:off x="142875" y="476250"/>
              <a:ext cx="14030325" cy="7924799"/>
              <a:chOff x="171450" y="-514350"/>
              <a:chExt cx="14030325" cy="7924799"/>
            </a:xfrm>
          </xdr:grpSpPr>
          <xdr:grpSp>
            <xdr:nvGrpSpPr>
              <xdr:cNvPr id="19" name="Group 18">
                <a:extLst>
                  <a:ext uri="{FF2B5EF4-FFF2-40B4-BE49-F238E27FC236}">
                    <a16:creationId xmlns:a16="http://schemas.microsoft.com/office/drawing/2014/main" id="{CC6AA5B0-9A8E-0222-AD1C-C1E989A2B2EE}"/>
                  </a:ext>
                </a:extLst>
              </xdr:cNvPr>
              <xdr:cNvGrpSpPr/>
            </xdr:nvGrpSpPr>
            <xdr:grpSpPr>
              <a:xfrm>
                <a:off x="171450" y="-514350"/>
                <a:ext cx="14030325" cy="7924799"/>
                <a:chOff x="171450" y="-695325"/>
                <a:chExt cx="14030325" cy="7924799"/>
              </a:xfrm>
            </xdr:grpSpPr>
            <xdr:grpSp>
              <xdr:nvGrpSpPr>
                <xdr:cNvPr id="30" name="Group 29">
                  <a:extLst>
                    <a:ext uri="{FF2B5EF4-FFF2-40B4-BE49-F238E27FC236}">
                      <a16:creationId xmlns:a16="http://schemas.microsoft.com/office/drawing/2014/main" id="{C035D027-AF92-3C00-1680-1DD92EDCE672}"/>
                    </a:ext>
                  </a:extLst>
                </xdr:cNvPr>
                <xdr:cNvGrpSpPr/>
              </xdr:nvGrpSpPr>
              <xdr:grpSpPr>
                <a:xfrm>
                  <a:off x="171450" y="-695325"/>
                  <a:ext cx="14030325" cy="5348287"/>
                  <a:chOff x="114300" y="-561975"/>
                  <a:chExt cx="14030325" cy="5348287"/>
                </a:xfrm>
              </xdr:grpSpPr>
              <xdr:grpSp>
                <xdr:nvGrpSpPr>
                  <xdr:cNvPr id="26" name="Group 25">
                    <a:extLst>
                      <a:ext uri="{FF2B5EF4-FFF2-40B4-BE49-F238E27FC236}">
                        <a16:creationId xmlns:a16="http://schemas.microsoft.com/office/drawing/2014/main" id="{D641332C-DD68-D1E6-0058-76CD47394DF0}"/>
                      </a:ext>
                    </a:extLst>
                  </xdr:cNvPr>
                  <xdr:cNvGrpSpPr/>
                </xdr:nvGrpSpPr>
                <xdr:grpSpPr>
                  <a:xfrm>
                    <a:off x="123824" y="-561975"/>
                    <a:ext cx="14020801" cy="5348287"/>
                    <a:chOff x="123824" y="-533400"/>
                    <a:chExt cx="14020801" cy="5348287"/>
                  </a:xfrm>
                </xdr:grpSpPr>
                <xdr:grpSp>
                  <xdr:nvGrpSpPr>
                    <xdr:cNvPr id="15" name="Group 14">
                      <a:extLst>
                        <a:ext uri="{FF2B5EF4-FFF2-40B4-BE49-F238E27FC236}">
                          <a16:creationId xmlns:a16="http://schemas.microsoft.com/office/drawing/2014/main" id="{6ECF5D6C-18A6-C4F3-0991-FDAF1674E840}"/>
                        </a:ext>
                      </a:extLst>
                    </xdr:cNvPr>
                    <xdr:cNvGrpSpPr/>
                  </xdr:nvGrpSpPr>
                  <xdr:grpSpPr>
                    <a:xfrm>
                      <a:off x="171450" y="609600"/>
                      <a:ext cx="13973175" cy="4205287"/>
                      <a:chOff x="133350" y="666750"/>
                      <a:chExt cx="13973175" cy="4205287"/>
                    </a:xfrm>
                  </xdr:grpSpPr>
                  <xdr:grpSp>
                    <xdr:nvGrpSpPr>
                      <xdr:cNvPr id="13" name="Group 12">
                        <a:extLst>
                          <a:ext uri="{FF2B5EF4-FFF2-40B4-BE49-F238E27FC236}">
                            <a16:creationId xmlns:a16="http://schemas.microsoft.com/office/drawing/2014/main" id="{8B48D871-0CC1-89AC-6129-6B2EE9488B5D}"/>
                          </a:ext>
                        </a:extLst>
                      </xdr:cNvPr>
                      <xdr:cNvGrpSpPr/>
                    </xdr:nvGrpSpPr>
                    <xdr:grpSpPr>
                      <a:xfrm>
                        <a:off x="133350" y="666750"/>
                        <a:ext cx="13973175" cy="4205287"/>
                        <a:chOff x="142875" y="342900"/>
                        <a:chExt cx="13973175" cy="4205287"/>
                      </a:xfrm>
                    </xdr:grpSpPr>
                    <xdr:graphicFrame macro="">
                      <xdr:nvGraphicFramePr>
                        <xdr:cNvPr id="2" name="Chart 1">
                          <a:extLst>
                            <a:ext uri="{FF2B5EF4-FFF2-40B4-BE49-F238E27FC236}">
                              <a16:creationId xmlns:a16="http://schemas.microsoft.com/office/drawing/2014/main" id="{1EA7605C-29BD-46B9-81ED-B096028EBA22}"/>
                            </a:ext>
                          </a:extLst>
                        </xdr:cNvPr>
                        <xdr:cNvGraphicFramePr>
                          <a:graphicFrameLocks/>
                        </xdr:cNvGraphicFramePr>
                      </xdr:nvGraphicFramePr>
                      <xdr:xfrm>
                        <a:off x="5086351" y="1162050"/>
                        <a:ext cx="4457699" cy="338613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FFDD6468-1AD2-4D8B-BC03-BEDE63037D56}"/>
                            </a:ext>
                          </a:extLst>
                        </xdr:cNvPr>
                        <xdr:cNvGraphicFramePr>
                          <a:graphicFrameLocks/>
                        </xdr:cNvGraphicFramePr>
                      </xdr:nvGraphicFramePr>
                      <xdr:xfrm>
                        <a:off x="142875" y="1171576"/>
                        <a:ext cx="4657725" cy="3324224"/>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90D760BC-A29B-4480-A066-B9863C68F673}"/>
                                </a:ext>
                              </a:extLst>
                            </xdr:cNvPr>
                            <xdr:cNvGraphicFramePr/>
                          </xdr:nvGraphicFramePr>
                          <xdr:xfrm>
                            <a:off x="9734549" y="1514475"/>
                            <a:ext cx="4381501" cy="2771775"/>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734549" y="1514475"/>
                              <a:ext cx="4381501" cy="27717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nvGrpSpPr>
                        <xdr:cNvPr id="12" name="Group 11">
                          <a:extLst>
                            <a:ext uri="{FF2B5EF4-FFF2-40B4-BE49-F238E27FC236}">
                              <a16:creationId xmlns:a16="http://schemas.microsoft.com/office/drawing/2014/main" id="{2E914752-265D-5625-7AF1-1C8202764A45}"/>
                            </a:ext>
                          </a:extLst>
                        </xdr:cNvPr>
                        <xdr:cNvGrpSpPr/>
                      </xdr:nvGrpSpPr>
                      <xdr:grpSpPr>
                        <a:xfrm>
                          <a:off x="11268075" y="342900"/>
                          <a:ext cx="1905000" cy="828675"/>
                          <a:chOff x="11258550" y="914400"/>
                          <a:chExt cx="1905000" cy="828675"/>
                        </a:xfrm>
                      </xdr:grpSpPr>
                      <xdr:sp macro="" textlink="">
                        <xdr:nvSpPr>
                          <xdr:cNvPr id="9" name="TextBox 8">
                            <a:extLst>
                              <a:ext uri="{FF2B5EF4-FFF2-40B4-BE49-F238E27FC236}">
                                <a16:creationId xmlns:a16="http://schemas.microsoft.com/office/drawing/2014/main" id="{52BD431B-B146-D109-C194-8CFA54584B13}"/>
                              </a:ext>
                            </a:extLst>
                          </xdr:cNvPr>
                          <xdr:cNvSpPr txBox="1"/>
                        </xdr:nvSpPr>
                        <xdr:spPr>
                          <a:xfrm>
                            <a:off x="12011025" y="914400"/>
                            <a:ext cx="1152525" cy="828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solidFill>
                              </a:rPr>
                              <a:t>Zero</a:t>
                            </a:r>
                            <a:r>
                              <a:rPr lang="en-US" sz="1100" b="1" baseline="0">
                                <a:solidFill>
                                  <a:schemeClr val="accent2"/>
                                </a:solidFill>
                              </a:rPr>
                              <a:t>  values indicate revenue that was not reported.</a:t>
                            </a:r>
                            <a:endParaRPr lang="en-US" sz="1100" b="1">
                              <a:solidFill>
                                <a:schemeClr val="accent2"/>
                              </a:solidFill>
                            </a:endParaRPr>
                          </a:p>
                        </xdr:txBody>
                      </xdr:sp>
                      <xdr:pic>
                        <xdr:nvPicPr>
                          <xdr:cNvPr id="11" name="Graphic 10" descr="Warning outline">
                            <a:extLst>
                              <a:ext uri="{FF2B5EF4-FFF2-40B4-BE49-F238E27FC236}">
                                <a16:creationId xmlns:a16="http://schemas.microsoft.com/office/drawing/2014/main" id="{A208E738-B2BB-7F1D-1AB1-DBC3D61600C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1258550" y="942975"/>
                            <a:ext cx="723900" cy="723900"/>
                          </a:xfrm>
                          <a:prstGeom prst="rect">
                            <a:avLst/>
                          </a:prstGeom>
                        </xdr:spPr>
                      </xdr:pic>
                    </xdr:grpSp>
                  </xdr:grpSp>
                  <mc:AlternateContent xmlns:mc="http://schemas.openxmlformats.org/markup-compatibility/2006" xmlns:a14="http://schemas.microsoft.com/office/drawing/2010/main">
                    <mc:Choice Requires="a14">
                      <xdr:graphicFrame macro="">
                        <xdr:nvGraphicFramePr>
                          <xdr:cNvPr id="14" name="fulfillment">
                            <a:extLst>
                              <a:ext uri="{FF2B5EF4-FFF2-40B4-BE49-F238E27FC236}">
                                <a16:creationId xmlns:a16="http://schemas.microsoft.com/office/drawing/2014/main" id="{58869242-B9C1-4D77-86FA-B7B3CC56C4D0}"/>
                              </a:ext>
                            </a:extLst>
                          </xdr:cNvPr>
                          <xdr:cNvGraphicFramePr/>
                        </xdr:nvGraphicFramePr>
                        <xdr:xfrm>
                          <a:off x="171450" y="695326"/>
                          <a:ext cx="1828800" cy="685800"/>
                        </xdr:xfrm>
                        <a:graphic>
                          <a:graphicData uri="http://schemas.microsoft.com/office/drawing/2010/slicer">
                            <sle:slicer xmlns:sle="http://schemas.microsoft.com/office/drawing/2010/slicer" name="fulfillment"/>
                          </a:graphicData>
                        </a:graphic>
                      </xdr:graphicFrame>
                    </mc:Choice>
                    <mc:Fallback xmlns="">
                      <xdr:sp macro="" textlink="">
                        <xdr:nvSpPr>
                          <xdr:cNvPr id="0" name=""/>
                          <xdr:cNvSpPr>
                            <a:spLocks noTextEdit="1"/>
                          </xdr:cNvSpPr>
                        </xdr:nvSpPr>
                        <xdr:spPr>
                          <a:xfrm>
                            <a:off x="352425" y="1971676"/>
                            <a:ext cx="1828800"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17" name="TextBox 16">
                      <a:extLst>
                        <a:ext uri="{FF2B5EF4-FFF2-40B4-BE49-F238E27FC236}">
                          <a16:creationId xmlns:a16="http://schemas.microsoft.com/office/drawing/2014/main" id="{A5A496AE-143C-4227-B4AA-D37C5FC4921A}"/>
                        </a:ext>
                      </a:extLst>
                    </xdr:cNvPr>
                    <xdr:cNvSpPr txBox="1"/>
                  </xdr:nvSpPr>
                  <xdr:spPr>
                    <a:xfrm>
                      <a:off x="123824" y="-523876"/>
                      <a:ext cx="23336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accent6"/>
                          </a:solidFill>
                        </a:rPr>
                        <a:t>TOTAL SALES</a:t>
                      </a:r>
                    </a:p>
                  </xdr:txBody>
                </xdr:sp>
                <xdr:sp macro="" textlink="'Pivot Tables'!$G$2">
                  <xdr:nvSpPr>
                    <xdr:cNvPr id="20" name="TextBox 19">
                      <a:extLst>
                        <a:ext uri="{FF2B5EF4-FFF2-40B4-BE49-F238E27FC236}">
                          <a16:creationId xmlns:a16="http://schemas.microsoft.com/office/drawing/2014/main" id="{E033B15F-B330-4B8B-8CB7-9560693028A1}"/>
                        </a:ext>
                      </a:extLst>
                    </xdr:cNvPr>
                    <xdr:cNvSpPr txBox="1"/>
                  </xdr:nvSpPr>
                  <xdr:spPr>
                    <a:xfrm>
                      <a:off x="619125" y="-114300"/>
                      <a:ext cx="1123949"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6B9D96-D1F6-469C-9DC1-41EB564E2209}" type="TxLink">
                        <a:rPr lang="en-US" sz="2400" b="1" i="0" u="none" strike="noStrike">
                          <a:solidFill>
                            <a:sysClr val="windowText" lastClr="000000"/>
                          </a:solidFill>
                          <a:latin typeface="Aptos Narrow"/>
                        </a:rPr>
                        <a:pPr/>
                        <a:t>$202 K</a:t>
                      </a:fld>
                      <a:endParaRPr lang="en-US" sz="4000" b="1">
                        <a:solidFill>
                          <a:sysClr val="windowText" lastClr="000000"/>
                        </a:solidFill>
                      </a:endParaRPr>
                    </a:p>
                  </xdr:txBody>
                </xdr:sp>
                <xdr:sp macro="" textlink="">
                  <xdr:nvSpPr>
                    <xdr:cNvPr id="22" name="TextBox 21">
                      <a:extLst>
                        <a:ext uri="{FF2B5EF4-FFF2-40B4-BE49-F238E27FC236}">
                          <a16:creationId xmlns:a16="http://schemas.microsoft.com/office/drawing/2014/main" id="{95B03D4D-F938-4ABA-8182-EDFBF3CC312F}"/>
                        </a:ext>
                      </a:extLst>
                    </xdr:cNvPr>
                    <xdr:cNvSpPr txBox="1"/>
                  </xdr:nvSpPr>
                  <xdr:spPr>
                    <a:xfrm>
                      <a:off x="2447924" y="-523875"/>
                      <a:ext cx="2438401" cy="40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800" b="1">
                          <a:solidFill>
                            <a:schemeClr val="accent6"/>
                          </a:solidFill>
                          <a:latin typeface="+mn-lt"/>
                          <a:ea typeface="+mn-ea"/>
                          <a:cs typeface="+mn-cs"/>
                        </a:rPr>
                        <a:t>TOTAL ORDERS</a:t>
                      </a:r>
                    </a:p>
                  </xdr:txBody>
                </xdr:sp>
                <xdr:sp macro="" textlink="'Pivot Tables'!$I$2">
                  <xdr:nvSpPr>
                    <xdr:cNvPr id="23" name="TextBox 22">
                      <a:extLst>
                        <a:ext uri="{FF2B5EF4-FFF2-40B4-BE49-F238E27FC236}">
                          <a16:creationId xmlns:a16="http://schemas.microsoft.com/office/drawing/2014/main" id="{697E9F7E-0B0B-4A7C-834A-92A7107CE640}"/>
                        </a:ext>
                      </a:extLst>
                    </xdr:cNvPr>
                    <xdr:cNvSpPr txBox="1"/>
                  </xdr:nvSpPr>
                  <xdr:spPr>
                    <a:xfrm>
                      <a:off x="3305175" y="-114300"/>
                      <a:ext cx="6572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9FC6EB2-D8DA-43C7-9D9D-0A4F0E0B5C95}" type="TxLink">
                        <a:rPr lang="en-US" sz="2400" b="1" i="0" u="none" strike="noStrike">
                          <a:solidFill>
                            <a:sysClr val="windowText" lastClr="000000"/>
                          </a:solidFill>
                          <a:latin typeface="Aptos Narrow"/>
                          <a:ea typeface="+mn-ea"/>
                          <a:cs typeface="+mn-cs"/>
                        </a:rPr>
                        <a:pPr marL="0" indent="0"/>
                        <a:t>100</a:t>
                      </a:fld>
                      <a:endParaRPr lang="en-US" sz="2400" b="1" i="0" u="none" strike="noStrike">
                        <a:solidFill>
                          <a:sysClr val="windowText" lastClr="000000"/>
                        </a:solidFill>
                        <a:latin typeface="Aptos Narrow"/>
                        <a:ea typeface="+mn-ea"/>
                        <a:cs typeface="+mn-cs"/>
                      </a:endParaRPr>
                    </a:p>
                  </xdr:txBody>
                </xdr:sp>
                <xdr:sp macro="" textlink="">
                  <xdr:nvSpPr>
                    <xdr:cNvPr id="24" name="TextBox 23">
                      <a:extLst>
                        <a:ext uri="{FF2B5EF4-FFF2-40B4-BE49-F238E27FC236}">
                          <a16:creationId xmlns:a16="http://schemas.microsoft.com/office/drawing/2014/main" id="{8E0D9503-B588-435A-8021-1A18E1DB54DA}"/>
                        </a:ext>
                      </a:extLst>
                    </xdr:cNvPr>
                    <xdr:cNvSpPr txBox="1"/>
                  </xdr:nvSpPr>
                  <xdr:spPr>
                    <a:xfrm>
                      <a:off x="5267325" y="-533400"/>
                      <a:ext cx="809626" cy="40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800" b="1">
                          <a:solidFill>
                            <a:schemeClr val="accent6"/>
                          </a:solidFill>
                          <a:latin typeface="+mn-lt"/>
                          <a:ea typeface="+mn-ea"/>
                          <a:cs typeface="+mn-cs"/>
                        </a:rPr>
                        <a:t>AOV</a:t>
                      </a:r>
                    </a:p>
                  </xdr:txBody>
                </xdr:sp>
                <xdr:sp macro="" textlink="'Pivot Tables'!$K$2">
                  <xdr:nvSpPr>
                    <xdr:cNvPr id="25" name="TextBox 24">
                      <a:extLst>
                        <a:ext uri="{FF2B5EF4-FFF2-40B4-BE49-F238E27FC236}">
                          <a16:creationId xmlns:a16="http://schemas.microsoft.com/office/drawing/2014/main" id="{3268E1B2-B776-4964-9233-2A8D071C2B23}"/>
                        </a:ext>
                      </a:extLst>
                    </xdr:cNvPr>
                    <xdr:cNvSpPr txBox="1"/>
                  </xdr:nvSpPr>
                  <xdr:spPr>
                    <a:xfrm>
                      <a:off x="5143500" y="-123825"/>
                      <a:ext cx="10763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974CB17-2643-423E-B17D-6F4C7ABB074B}" type="TxLink">
                        <a:rPr lang="en-US" sz="2400" b="1" i="0" u="none" strike="noStrike">
                          <a:solidFill>
                            <a:sysClr val="windowText" lastClr="000000"/>
                          </a:solidFill>
                          <a:latin typeface="Aptos Narrow"/>
                          <a:ea typeface="+mn-ea"/>
                          <a:cs typeface="+mn-cs"/>
                        </a:rPr>
                        <a:pPr marL="0" indent="0"/>
                        <a:t>$2,018</a:t>
                      </a:fld>
                      <a:endParaRPr lang="en-US" sz="2400" b="1" i="0" u="none" strike="noStrike">
                        <a:solidFill>
                          <a:sysClr val="windowText" lastClr="000000"/>
                        </a:solidFill>
                        <a:latin typeface="Aptos Narrow"/>
                        <a:ea typeface="+mn-ea"/>
                        <a:cs typeface="+mn-cs"/>
                      </a:endParaRPr>
                    </a:p>
                  </xdr:txBody>
                </xdr:sp>
              </xdr:grpSp>
              <xdr:sp macro="" textlink="">
                <xdr:nvSpPr>
                  <xdr:cNvPr id="27" name="Rectangle: Rounded Corners 26">
                    <a:extLst>
                      <a:ext uri="{FF2B5EF4-FFF2-40B4-BE49-F238E27FC236}">
                        <a16:creationId xmlns:a16="http://schemas.microsoft.com/office/drawing/2014/main" id="{4FB93141-5B73-CBA6-51C2-BCF68A697D8A}"/>
                      </a:ext>
                    </a:extLst>
                  </xdr:cNvPr>
                  <xdr:cNvSpPr/>
                </xdr:nvSpPr>
                <xdr:spPr>
                  <a:xfrm>
                    <a:off x="114300" y="-504825"/>
                    <a:ext cx="2085975" cy="838200"/>
                  </a:xfrm>
                  <a:prstGeom prst="roundRect">
                    <a:avLst/>
                  </a:prstGeom>
                  <a:no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Rounded Corners 27">
                    <a:extLst>
                      <a:ext uri="{FF2B5EF4-FFF2-40B4-BE49-F238E27FC236}">
                        <a16:creationId xmlns:a16="http://schemas.microsoft.com/office/drawing/2014/main" id="{767E451E-A673-4AF1-A835-ADC86315783C}"/>
                      </a:ext>
                    </a:extLst>
                  </xdr:cNvPr>
                  <xdr:cNvSpPr/>
                </xdr:nvSpPr>
                <xdr:spPr>
                  <a:xfrm>
                    <a:off x="2466975" y="-504825"/>
                    <a:ext cx="2324100" cy="809625"/>
                  </a:xfrm>
                  <a:prstGeom prst="roundRect">
                    <a:avLst/>
                  </a:prstGeom>
                  <a:no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ectangle: Rounded Corners 28">
                    <a:extLst>
                      <a:ext uri="{FF2B5EF4-FFF2-40B4-BE49-F238E27FC236}">
                        <a16:creationId xmlns:a16="http://schemas.microsoft.com/office/drawing/2014/main" id="{8ED23993-F2F1-4CEC-831D-590131921830}"/>
                      </a:ext>
                    </a:extLst>
                  </xdr:cNvPr>
                  <xdr:cNvSpPr/>
                </xdr:nvSpPr>
                <xdr:spPr>
                  <a:xfrm>
                    <a:off x="5057776" y="-504825"/>
                    <a:ext cx="1209674" cy="800100"/>
                  </a:xfrm>
                  <a:prstGeom prst="roundRect">
                    <a:avLst/>
                  </a:prstGeom>
                  <a:no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aphicFrame macro="">
              <xdr:nvGraphicFramePr>
                <xdr:cNvPr id="10" name="Chart 9">
                  <a:extLst>
                    <a:ext uri="{FF2B5EF4-FFF2-40B4-BE49-F238E27FC236}">
                      <a16:creationId xmlns:a16="http://schemas.microsoft.com/office/drawing/2014/main" id="{577E71CF-9AD8-4A71-8A70-3A20846D1C79}"/>
                    </a:ext>
                  </a:extLst>
                </xdr:cNvPr>
                <xdr:cNvGraphicFramePr>
                  <a:graphicFrameLocks/>
                </xdr:cNvGraphicFramePr>
              </xdr:nvGraphicFramePr>
              <xdr:xfrm>
                <a:off x="371475" y="4562475"/>
                <a:ext cx="4572000" cy="2666999"/>
              </xdr:xfrm>
              <a:graphic>
                <a:graphicData uri="http://schemas.openxmlformats.org/drawingml/2006/chart">
                  <c:chart xmlns:c="http://schemas.openxmlformats.org/drawingml/2006/chart" xmlns:r="http://schemas.openxmlformats.org/officeDocument/2006/relationships" r:id="rId6"/>
                </a:graphicData>
              </a:graphic>
            </xdr:graphicFrame>
          </xdr:grpSp>
          <xdr:graphicFrame macro="">
            <xdr:nvGraphicFramePr>
              <xdr:cNvPr id="6" name="Chart 5">
                <a:extLst>
                  <a:ext uri="{FF2B5EF4-FFF2-40B4-BE49-F238E27FC236}">
                    <a16:creationId xmlns:a16="http://schemas.microsoft.com/office/drawing/2014/main" id="{466159C2-73DB-4A27-B5BC-04EC497002AF}"/>
                  </a:ext>
                </a:extLst>
              </xdr:cNvPr>
              <xdr:cNvGraphicFramePr>
                <a:graphicFrameLocks/>
              </xdr:cNvGraphicFramePr>
            </xdr:nvGraphicFramePr>
            <xdr:xfrm>
              <a:off x="5057775" y="4752975"/>
              <a:ext cx="4572000" cy="2638423"/>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7" name="Chart 6">
                <a:extLst>
                  <a:ext uri="{FF2B5EF4-FFF2-40B4-BE49-F238E27FC236}">
                    <a16:creationId xmlns:a16="http://schemas.microsoft.com/office/drawing/2014/main" id="{F84A04BA-D627-42B6-9AF4-FC84BECFE7A4}"/>
                  </a:ext>
                </a:extLst>
              </xdr:cNvPr>
              <xdr:cNvGraphicFramePr>
                <a:graphicFrameLocks/>
              </xdr:cNvGraphicFramePr>
            </xdr:nvGraphicFramePr>
            <xdr:xfrm>
              <a:off x="9496425" y="4686300"/>
              <a:ext cx="4572000" cy="2705100"/>
            </xdr:xfrm>
            <a:graphic>
              <a:graphicData uri="http://schemas.openxmlformats.org/drawingml/2006/chart">
                <c:chart xmlns:c="http://schemas.openxmlformats.org/drawingml/2006/chart" xmlns:r="http://schemas.openxmlformats.org/officeDocument/2006/relationships" r:id="rId8"/>
              </a:graphicData>
            </a:graphic>
          </xdr:graphicFrame>
        </xdr:grpSp>
        <mc:AlternateContent xmlns:mc="http://schemas.openxmlformats.org/markup-compatibility/2006" xmlns:a14="http://schemas.microsoft.com/office/drawing/2010/main">
          <mc:Choice Requires="a14">
            <xdr:graphicFrame macro="">
              <xdr:nvGraphicFramePr>
                <xdr:cNvPr id="16" name="order_date (Year)">
                  <a:extLst>
                    <a:ext uri="{FF2B5EF4-FFF2-40B4-BE49-F238E27FC236}">
                      <a16:creationId xmlns:a16="http://schemas.microsoft.com/office/drawing/2014/main" id="{86FA7895-B9AF-4C3E-9FE2-8FE6FDC8F9C1}"/>
                    </a:ext>
                  </a:extLst>
                </xdr:cNvPr>
                <xdr:cNvGraphicFramePr/>
              </xdr:nvGraphicFramePr>
              <xdr:xfrm>
                <a:off x="2295527" y="1638301"/>
                <a:ext cx="2552698" cy="685800"/>
              </xdr:xfrm>
              <a:graphic>
                <a:graphicData uri="http://schemas.microsoft.com/office/drawing/2010/slicer">
                  <sle:slicer xmlns:sle="http://schemas.microsoft.com/office/drawing/2010/slicer" name="order_date (Year)"/>
                </a:graphicData>
              </a:graphic>
            </xdr:graphicFrame>
          </mc:Choice>
          <mc:Fallback xmlns="">
            <xdr:sp macro="" textlink="">
              <xdr:nvSpPr>
                <xdr:cNvPr id="0" name=""/>
                <xdr:cNvSpPr>
                  <a:spLocks noTextEdit="1"/>
                </xdr:cNvSpPr>
              </xdr:nvSpPr>
              <xdr:spPr>
                <a:xfrm>
                  <a:off x="2409827" y="1962151"/>
                  <a:ext cx="2552698"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31" name="TextBox 30">
            <a:extLst>
              <a:ext uri="{FF2B5EF4-FFF2-40B4-BE49-F238E27FC236}">
                <a16:creationId xmlns:a16="http://schemas.microsoft.com/office/drawing/2014/main" id="{A40A7DE4-74A3-C83C-C5F4-96857F54BA8A}"/>
              </a:ext>
            </a:extLst>
          </xdr:cNvPr>
          <xdr:cNvSpPr txBox="1"/>
        </xdr:nvSpPr>
        <xdr:spPr>
          <a:xfrm>
            <a:off x="95251" y="-314324"/>
            <a:ext cx="6038850" cy="676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4000" b="1">
                <a:solidFill>
                  <a:schemeClr val="accent6"/>
                </a:solidFill>
                <a:latin typeface="+mn-lt"/>
                <a:ea typeface="+mn-ea"/>
                <a:cs typeface="+mn-cs"/>
              </a:rPr>
              <a:t>PRODUCT SALES ANALYSIS</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276225</xdr:colOff>
      <xdr:row>0</xdr:row>
      <xdr:rowOff>123825</xdr:rowOff>
    </xdr:from>
    <xdr:to>
      <xdr:col>15</xdr:col>
      <xdr:colOff>360425</xdr:colOff>
      <xdr:row>21</xdr:row>
      <xdr:rowOff>55533</xdr:rowOff>
    </xdr:to>
    <xdr:grpSp>
      <xdr:nvGrpSpPr>
        <xdr:cNvPr id="15" name="Group 14">
          <a:extLst>
            <a:ext uri="{FF2B5EF4-FFF2-40B4-BE49-F238E27FC236}">
              <a16:creationId xmlns:a16="http://schemas.microsoft.com/office/drawing/2014/main" id="{35D5DCCB-952D-F8D4-7CCD-411EDFBACA5B}"/>
            </a:ext>
          </a:extLst>
        </xdr:cNvPr>
        <xdr:cNvGrpSpPr/>
      </xdr:nvGrpSpPr>
      <xdr:grpSpPr>
        <a:xfrm>
          <a:off x="276225" y="123825"/>
          <a:ext cx="9228200" cy="3932208"/>
          <a:chOff x="5686425" y="571500"/>
          <a:chExt cx="9228200" cy="3932208"/>
        </a:xfrm>
      </xdr:grpSpPr>
      <xdr:sp macro="" textlink="">
        <xdr:nvSpPr>
          <xdr:cNvPr id="10" name="Left Brace 9">
            <a:extLst>
              <a:ext uri="{FF2B5EF4-FFF2-40B4-BE49-F238E27FC236}">
                <a16:creationId xmlns:a16="http://schemas.microsoft.com/office/drawing/2014/main" id="{1BAB03E4-7EFE-4324-0060-282D73A5A0CF}"/>
              </a:ext>
            </a:extLst>
          </xdr:cNvPr>
          <xdr:cNvSpPr/>
        </xdr:nvSpPr>
        <xdr:spPr>
          <a:xfrm>
            <a:off x="13687425" y="2571750"/>
            <a:ext cx="180975" cy="790575"/>
          </a:xfrm>
          <a:prstGeom prst="leftBrace">
            <a:avLst/>
          </a:prstGeom>
          <a:ln>
            <a:solidFill>
              <a:srgbClr val="92D05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grpSp>
        <xdr:nvGrpSpPr>
          <xdr:cNvPr id="14" name="Group 13">
            <a:extLst>
              <a:ext uri="{FF2B5EF4-FFF2-40B4-BE49-F238E27FC236}">
                <a16:creationId xmlns:a16="http://schemas.microsoft.com/office/drawing/2014/main" id="{995A8703-1C6B-621B-91D5-49F7362B5D70}"/>
              </a:ext>
            </a:extLst>
          </xdr:cNvPr>
          <xdr:cNvGrpSpPr/>
        </xdr:nvGrpSpPr>
        <xdr:grpSpPr>
          <a:xfrm>
            <a:off x="5686425" y="571500"/>
            <a:ext cx="9228200" cy="3932208"/>
            <a:chOff x="8181975" y="304800"/>
            <a:chExt cx="9228200" cy="3932208"/>
          </a:xfrm>
        </xdr:grpSpPr>
        <xdr:grpSp>
          <xdr:nvGrpSpPr>
            <xdr:cNvPr id="9" name="Group 8">
              <a:extLst>
                <a:ext uri="{FF2B5EF4-FFF2-40B4-BE49-F238E27FC236}">
                  <a16:creationId xmlns:a16="http://schemas.microsoft.com/office/drawing/2014/main" id="{3CAF2898-5D36-5559-7FDB-83912EF00487}"/>
                </a:ext>
              </a:extLst>
            </xdr:cNvPr>
            <xdr:cNvGrpSpPr/>
          </xdr:nvGrpSpPr>
          <xdr:grpSpPr>
            <a:xfrm>
              <a:off x="8181975" y="914400"/>
              <a:ext cx="4657748" cy="3322608"/>
              <a:chOff x="8181975" y="914400"/>
              <a:chExt cx="4657748" cy="3322608"/>
            </a:xfrm>
          </xdr:grpSpPr>
          <xdr:pic>
            <xdr:nvPicPr>
              <xdr:cNvPr id="3" name="Picture 2">
                <a:extLst>
                  <a:ext uri="{FF2B5EF4-FFF2-40B4-BE49-F238E27FC236}">
                    <a16:creationId xmlns:a16="http://schemas.microsoft.com/office/drawing/2014/main" id="{CB2757D2-5DB0-33E5-9E89-C919C5C41319}"/>
                  </a:ext>
                </a:extLst>
              </xdr:cNvPr>
              <xdr:cNvPicPr>
                <a:picLocks noChangeAspect="1"/>
              </xdr:cNvPicPr>
            </xdr:nvPicPr>
            <xdr:blipFill>
              <a:blip xmlns:r="http://schemas.openxmlformats.org/officeDocument/2006/relationships" r:embed="rId1"/>
              <a:stretch>
                <a:fillRect/>
              </a:stretch>
            </xdr:blipFill>
            <xdr:spPr>
              <a:xfrm>
                <a:off x="8181975" y="914400"/>
                <a:ext cx="4657748" cy="3322608"/>
              </a:xfrm>
              <a:prstGeom prst="rect">
                <a:avLst/>
              </a:prstGeom>
            </xdr:spPr>
          </xdr:pic>
          <xdr:cxnSp macro="">
            <xdr:nvCxnSpPr>
              <xdr:cNvPr id="6" name="Straight Arrow Connector 5">
                <a:extLst>
                  <a:ext uri="{FF2B5EF4-FFF2-40B4-BE49-F238E27FC236}">
                    <a16:creationId xmlns:a16="http://schemas.microsoft.com/office/drawing/2014/main" id="{E7FE7260-2282-E4B0-2184-3B10CEF2417E}"/>
                  </a:ext>
                </a:extLst>
              </xdr:cNvPr>
              <xdr:cNvCxnSpPr/>
            </xdr:nvCxnSpPr>
            <xdr:spPr>
              <a:xfrm flipH="1" flipV="1">
                <a:off x="9191625" y="1857375"/>
                <a:ext cx="704850" cy="133350"/>
              </a:xfrm>
              <a:prstGeom prst="straightConnector1">
                <a:avLst/>
              </a:prstGeom>
              <a:ln>
                <a:solidFill>
                  <a:srgbClr val="92D050"/>
                </a:solidFill>
                <a:headEnd w="lg" len="lg"/>
                <a:tailEnd type="stealth" w="lg" len="lg"/>
              </a:ln>
            </xdr:spPr>
            <xdr:style>
              <a:lnRef idx="2">
                <a:schemeClr val="accent1"/>
              </a:lnRef>
              <a:fillRef idx="0">
                <a:schemeClr val="accent1"/>
              </a:fillRef>
              <a:effectRef idx="1">
                <a:schemeClr val="accent1"/>
              </a:effectRef>
              <a:fontRef idx="minor">
                <a:schemeClr val="tx1"/>
              </a:fontRef>
            </xdr:style>
          </xdr:cxnSp>
          <xdr:sp macro="" textlink="">
            <xdr:nvSpPr>
              <xdr:cNvPr id="8" name="TextBox 7">
                <a:extLst>
                  <a:ext uri="{FF2B5EF4-FFF2-40B4-BE49-F238E27FC236}">
                    <a16:creationId xmlns:a16="http://schemas.microsoft.com/office/drawing/2014/main" id="{B6D75B3F-0E7E-7288-E0F8-AE11E4C1DA6C}"/>
                  </a:ext>
                </a:extLst>
              </xdr:cNvPr>
              <xdr:cNvSpPr txBox="1"/>
            </xdr:nvSpPr>
            <xdr:spPr>
              <a:xfrm>
                <a:off x="9886950" y="1847850"/>
                <a:ext cx="14763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ysClr val="windowText" lastClr="000000"/>
                    </a:solidFill>
                  </a:rPr>
                  <a:t>$18,601 in</a:t>
                </a:r>
                <a:r>
                  <a:rPr lang="en-US" sz="1100" b="1" baseline="0">
                    <a:solidFill>
                      <a:sysClr val="windowText" lastClr="000000"/>
                    </a:solidFill>
                  </a:rPr>
                  <a:t> total sales</a:t>
                </a:r>
                <a:endParaRPr lang="en-US" sz="1100" b="1">
                  <a:solidFill>
                    <a:sysClr val="windowText" lastClr="000000"/>
                  </a:solidFill>
                </a:endParaRPr>
              </a:p>
            </xdr:txBody>
          </xdr:sp>
        </xdr:grpSp>
        <xdr:grpSp>
          <xdr:nvGrpSpPr>
            <xdr:cNvPr id="12" name="Group 11">
              <a:extLst>
                <a:ext uri="{FF2B5EF4-FFF2-40B4-BE49-F238E27FC236}">
                  <a16:creationId xmlns:a16="http://schemas.microsoft.com/office/drawing/2014/main" id="{C7954CC1-0DE5-5DFE-1B26-E811B0FCDB7A}"/>
                </a:ext>
              </a:extLst>
            </xdr:cNvPr>
            <xdr:cNvGrpSpPr/>
          </xdr:nvGrpSpPr>
          <xdr:grpSpPr>
            <a:xfrm>
              <a:off x="13020675" y="1295400"/>
              <a:ext cx="4389500" cy="2657475"/>
              <a:chOff x="13020675" y="1295400"/>
              <a:chExt cx="4389500" cy="2657475"/>
            </a:xfrm>
          </xdr:grpSpPr>
          <xdr:pic>
            <xdr:nvPicPr>
              <xdr:cNvPr id="2" name="Picture 1">
                <a:extLst>
                  <a:ext uri="{FF2B5EF4-FFF2-40B4-BE49-F238E27FC236}">
                    <a16:creationId xmlns:a16="http://schemas.microsoft.com/office/drawing/2014/main" id="{9105F873-46E0-09A1-CF74-829E17FAD77D}"/>
                  </a:ext>
                </a:extLst>
              </xdr:cNvPr>
              <xdr:cNvPicPr>
                <a:picLocks noChangeAspect="1"/>
              </xdr:cNvPicPr>
            </xdr:nvPicPr>
            <xdr:blipFill>
              <a:blip xmlns:r="http://schemas.openxmlformats.org/officeDocument/2006/relationships" r:embed="rId2"/>
              <a:stretch>
                <a:fillRect/>
              </a:stretch>
            </xdr:blipFill>
            <xdr:spPr>
              <a:xfrm>
                <a:off x="13020675" y="1295400"/>
                <a:ext cx="4389500" cy="2657475"/>
              </a:xfrm>
              <a:prstGeom prst="rect">
                <a:avLst/>
              </a:prstGeom>
            </xdr:spPr>
          </xdr:pic>
          <xdr:sp macro="" textlink="">
            <xdr:nvSpPr>
              <xdr:cNvPr id="11" name="TextBox 10">
                <a:extLst>
                  <a:ext uri="{FF2B5EF4-FFF2-40B4-BE49-F238E27FC236}">
                    <a16:creationId xmlns:a16="http://schemas.microsoft.com/office/drawing/2014/main" id="{204503BF-096C-4A3F-85E5-FCF9B2FF4918}"/>
                  </a:ext>
                </a:extLst>
              </xdr:cNvPr>
              <xdr:cNvSpPr txBox="1"/>
            </xdr:nvSpPr>
            <xdr:spPr>
              <a:xfrm>
                <a:off x="15078077" y="2647950"/>
                <a:ext cx="115252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ysClr val="windowText" lastClr="000000"/>
                    </a:solidFill>
                  </a:rPr>
                  <a:t>1,376% increase</a:t>
                </a:r>
              </a:p>
            </xdr:txBody>
          </xdr:sp>
        </xdr:grpSp>
        <xdr:sp macro="" textlink="">
          <xdr:nvSpPr>
            <xdr:cNvPr id="13" name="TextBox 12">
              <a:extLst>
                <a:ext uri="{FF2B5EF4-FFF2-40B4-BE49-F238E27FC236}">
                  <a16:creationId xmlns:a16="http://schemas.microsoft.com/office/drawing/2014/main" id="{B6FD7B98-9EFF-468F-9329-90CC31315E7A}"/>
                </a:ext>
              </a:extLst>
            </xdr:cNvPr>
            <xdr:cNvSpPr txBox="1"/>
          </xdr:nvSpPr>
          <xdr:spPr>
            <a:xfrm>
              <a:off x="11277600" y="304800"/>
              <a:ext cx="3486150" cy="676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4000" b="1">
                  <a:solidFill>
                    <a:schemeClr val="accent6"/>
                  </a:solidFill>
                  <a:latin typeface="+mn-lt"/>
                  <a:ea typeface="+mn-ea"/>
                  <a:cs typeface="+mn-cs"/>
                </a:rPr>
                <a:t>2018 ANOMALY</a:t>
              </a:r>
            </a:p>
          </xdr:txBody>
        </xdr:sp>
      </xdr:grp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opher Barnett" refreshedDate="46137.421230208332" createdVersion="5" refreshedVersion="8" minRefreshableVersion="3" recordCount="0" supportSubquery="1" supportAdvancedDrill="1" xr:uid="{32079C0B-3A39-4421-B3A1-86F13BE1945E}">
  <cacheSource type="external" connectionId="4"/>
  <cacheFields count="3">
    <cacheField name="[Measures].[Total Orders]" caption="Total Orders" numFmtId="0" hierarchy="22" level="32767"/>
    <cacheField name="[sales_orders].[order_date].[order_date]" caption="order_date" numFmtId="0" hierarchy="11" level="1">
      <sharedItems containsSemiMixedTypes="0" containsNonDate="0" containsString="0"/>
    </cacheField>
    <cacheField name="[sales_orders].[fulfillment].[fulfillment]" caption="fulfillment" numFmtId="0" hierarchy="13" level="1">
      <sharedItems count="2">
        <s v="In store"/>
        <s v="Online"/>
      </sharedItems>
    </cacheField>
  </cacheFields>
  <cacheHierarchies count="29">
    <cacheHierarchy uniqueName="[normalized_sales_orders].[order_number]" caption="order_number" attribute="1" defaultMemberUniqueName="[normalized_sales_orders].[order_number].[All]" allUniqueName="[normalized_sales_orders].[order_number].[All]" dimensionUniqueName="[normalized_sales_orders]" displayFolder="" count="0" memberValueDatatype="20" unbalanced="0"/>
    <cacheHierarchy uniqueName="[normalized_sales_orders].[fulfillment]" caption="fulfillment" attribute="1" defaultMemberUniqueName="[normalized_sales_orders].[fulfillment].[All]" allUniqueName="[normalized_sales_orders].[fulfillment].[All]" dimensionUniqueName="[normalized_sales_orders]" displayFolder="" count="0" memberValueDatatype="130" unbalanced="0"/>
    <cacheHierarchy uniqueName="[normalized_sales_orders].[product_name]" caption="product_name" attribute="1" defaultMemberUniqueName="[normalized_sales_orders].[product_name].[All]" allUniqueName="[normalized_sales_orders].[product_name].[All]" dimensionUniqueName="[normalized_sales_orders]" displayFolder="" count="0" memberValueDatatype="130" unbalanced="0"/>
    <cacheHierarchy uniqueName="[normalized_sales_orders].[product_price]" caption="product_price" attribute="1" defaultMemberUniqueName="[normalized_sales_orders].[product_price].[All]" allUniqueName="[normalized_sales_orders].[product_price].[All]" dimensionUniqueName="[normalized_sales_orders]" displayFolder="" count="0" memberValueDatatype="5" unbalanced="0"/>
    <cacheHierarchy uniqueName="[normalized_sales_orders].[quantity]" caption="quantity" attribute="1" defaultMemberUniqueName="[normalized_sales_orders].[quantity].[All]" allUniqueName="[normalized_sales_orders].[quantity].[All]" dimensionUniqueName="[normalized_sales_orders]" displayFolder="" count="0" memberValueDatatype="20" unbalanced="0"/>
    <cacheHierarchy uniqueName="[order_analysis].[order_number]" caption="order_number" attribute="1" defaultMemberUniqueName="[order_analysis].[order_number].[All]" allUniqueName="[order_analysis].[order_number].[All]" dimensionUniqueName="[order_analysis]" displayFolder="" count="0" memberValueDatatype="20" unbalanced="0"/>
    <cacheHierarchy uniqueName="[order_analysis].[fulfillment]" caption="fulfillment" attribute="1" defaultMemberUniqueName="[order_analysis].[fulfillment].[All]" allUniqueName="[order_analysis].[fulfillment].[All]" dimensionUniqueName="[order_analysis]" displayFolder="" count="0" memberValueDatatype="130" unbalanced="0"/>
    <cacheHierarchy uniqueName="[order_analysis].[num_products_bin]" caption="num_products_bin" attribute="1" defaultMemberUniqueName="[order_analysis].[num_products_bin].[All]" allUniqueName="[order_analysis].[num_products_bin].[All]" dimensionUniqueName="[order_analysis]" displayFolder="" count="0" memberValueDatatype="130" unbalanced="0"/>
    <cacheHierarchy uniqueName="[order_analysis].[num_products]" caption="num_products" attribute="1" defaultMemberUniqueName="[order_analysis].[num_products].[All]" allUniqueName="[order_analysis].[num_products].[All]" dimensionUniqueName="[order_analysis]" displayFolder="" count="0" memberValueDatatype="20" unbalanced="0"/>
    <cacheHierarchy uniqueName="[order_analysis].[total_sales]" caption="total_sales" attribute="1" defaultMemberUniqueName="[order_analysis].[total_sales].[All]" allUniqueName="[order_analysis].[total_sales].[All]" dimensionUniqueName="[order_analysis]" displayFolder="" count="0" memberValueDatatype="5" unbalanced="0"/>
    <cacheHierarchy uniqueName="[sales_orders].[order_number]" caption="order_number" attribute="1" defaultMemberUniqueName="[sales_orders].[order_number].[All]" allUniqueName="[sales_orders].[order_number].[All]" dimensionUniqueName="[sales_orders]" displayFolder="" count="0" memberValueDatatype="20" unbalanced="0"/>
    <cacheHierarchy uniqueName="[sales_orders].[order_date]" caption="order_date" attribute="1" time="1" defaultMemberUniqueName="[sales_orders].[order_date].[All]" allUniqueName="[sales_orders].[order_date].[All]" dimensionUniqueName="[sales_orders]" displayFolder="" count="2" memberValueDatatype="7" unbalanced="0">
      <fieldsUsage count="2">
        <fieldUsage x="-1"/>
        <fieldUsage x="1"/>
      </fieldsUsage>
    </cacheHierarchy>
    <cacheHierarchy uniqueName="[sales_orders].[line_items]" caption="line_items" attribute="1" defaultMemberUniqueName="[sales_orders].[line_items].[All]" allUniqueName="[sales_orders].[line_items].[All]" dimensionUniqueName="[sales_orders]" displayFolder="" count="0" memberValueDatatype="130" unbalanced="0"/>
    <cacheHierarchy uniqueName="[sales_orders].[fulfillment]" caption="fulfillment" attribute="1" defaultMemberUniqueName="[sales_orders].[fulfillment].[All]" allUniqueName="[sales_orders].[fulfillment].[All]" dimensionUniqueName="[sales_orders]" displayFolder="" count="2" memberValueDatatype="130" unbalanced="0">
      <fieldsUsage count="2">
        <fieldUsage x="-1"/>
        <fieldUsage x="2"/>
      </fieldsUsage>
    </cacheHierarchy>
    <cacheHierarchy uniqueName="[sales_orders].[order_date (Year)]" caption="order_date (Year)" attribute="1" defaultMemberUniqueName="[sales_orders].[order_date (Year)].[All]" allUniqueName="[sales_orders].[order_date (Year)].[All]" dimensionUniqueName="[sales_orders]" displayFolder="" count="0" memberValueDatatype="130" unbalanced="0"/>
    <cacheHierarchy uniqueName="[sales_orders].[order_date (Quarter)]" caption="order_date (Quarter)" attribute="1" defaultMemberUniqueName="[sales_orders].[order_date (Quarter)].[All]" allUniqueName="[sales_orders].[order_date (Quarter)].[All]" dimensionUniqueName="[sales_orders]" displayFolder="" count="0" memberValueDatatype="130" unbalanced="0"/>
    <cacheHierarchy uniqueName="[sales_orders].[order_date (Month)]" caption="order_date (Month)" attribute="1" defaultMemberUniqueName="[sales_orders].[order_date (Month)].[All]" allUniqueName="[sales_orders].[order_date (Month)].[All]" dimensionUniqueName="[sales_orders]" displayFolder="" count="0" memberValueDatatype="130" unbalanced="0"/>
    <cacheHierarchy uniqueName="[sales_orders].[order_date (Month Index)]" caption="order_date (Month Index)" attribute="1" defaultMemberUniqueName="[sales_orders].[order_date (Month Index)].[All]" allUniqueName="[sales_orders].[order_date (Month Index)].[All]" dimensionUniqueName="[sales_orders]" displayFolder="" count="0" memberValueDatatype="20" unbalanced="0" hidden="1"/>
    <cacheHierarchy uniqueName="[Measures].[Sum of total_sales 2]" caption="Sum of total_sales 2" measure="1" displayFolder="" measureGroup="order_analysis" count="0">
      <extLst>
        <ext xmlns:x15="http://schemas.microsoft.com/office/spreadsheetml/2010/11/main" uri="{B97F6D7D-B522-45F9-BDA1-12C45D357490}">
          <x15:cacheHierarchy aggregatedColumn="9"/>
        </ext>
      </extLst>
    </cacheHierarchy>
    <cacheHierarchy uniqueName="[Measures].[Sum of num_products]" caption="Sum of num_products" measure="1" displayFolder="" measureGroup="order_analysis"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normalized_sales_orders" count="0">
      <extLst>
        <ext xmlns:x15="http://schemas.microsoft.com/office/spreadsheetml/2010/11/main" uri="{B97F6D7D-B522-45F9-BDA1-12C45D357490}">
          <x15:cacheHierarchy aggregatedColumn="4"/>
        </ext>
      </extLst>
    </cacheHierarchy>
    <cacheHierarchy uniqueName="[Measures].[Count of fulfillment]" caption="Count of fulfillment" measure="1" displayFolder="" measureGroup="sales_orders" count="0">
      <extLst>
        <ext xmlns:x15="http://schemas.microsoft.com/office/spreadsheetml/2010/11/main" uri="{B97F6D7D-B522-45F9-BDA1-12C45D357490}">
          <x15:cacheHierarchy aggregatedColumn="13"/>
        </ext>
      </extLst>
    </cacheHierarchy>
    <cacheHierarchy uniqueName="[Measures].[Total Orders]" caption="Total Orders" measure="1" displayFolder="" measureGroup="normalized_sales_orders" count="0" oneField="1">
      <fieldsUsage count="1">
        <fieldUsage x="0"/>
      </fieldsUsage>
    </cacheHierarchy>
    <cacheHierarchy uniqueName="[Measures].[Total Sales]" caption="Total Sales" measure="1" displayFolder="" measureGroup="normalized_sales_orders" count="0"/>
    <cacheHierarchy uniqueName="[Measures].[Average Order Value]" caption="Average Order Value" measure="1" displayFolder="" measureGroup="normalized_sales_orders" count="0"/>
    <cacheHierarchy uniqueName="[Measures].[__XL_Count normalized_sales_orders]" caption="__XL_Count normalized_sales_orders" measure="1" displayFolder="" measureGroup="normalized_sales_orders" count="0" hidden="1"/>
    <cacheHierarchy uniqueName="[Measures].[__XL_Count order_analysis]" caption="__XL_Count order_analysis" measure="1" displayFolder="" measureGroup="order_analysi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dimensions count="4">
    <dimension measure="1" name="Measures" uniqueName="[Measures]" caption="Measures"/>
    <dimension name="normalized_sales_orders" uniqueName="[normalized_sales_orders]" caption="normalized_sales_orders"/>
    <dimension name="order_analysis" uniqueName="[order_analysis]" caption="order_analysis"/>
    <dimension name="sales_orders" uniqueName="[sales_orders]" caption="sales_orders"/>
  </dimensions>
  <measureGroups count="3">
    <measureGroup name="normalized_sales_orders" caption="normalized_sales_orders"/>
    <measureGroup name="order_analysis" caption="order_analysis"/>
    <measureGroup name="sales_orders" caption="sales_ord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opher Barnett" refreshedDate="46137.421231481479" createdVersion="5" refreshedVersion="8" minRefreshableVersion="3" recordCount="0" supportSubquery="1" supportAdvancedDrill="1" xr:uid="{57E0887C-8DDE-4849-B10A-1EE80B8BBE23}">
  <cacheSource type="external" connectionId="4"/>
  <cacheFields count="3">
    <cacheField name="[Measures].[Average Order Value]" caption="Average Order Value" numFmtId="0" hierarchy="24" level="32767"/>
    <cacheField name="[sales_orders].[order_date].[order_date]" caption="order_date" numFmtId="0" hierarchy="11" level="1">
      <sharedItems containsSemiMixedTypes="0" containsNonDate="0" containsString="0"/>
    </cacheField>
    <cacheField name="[sales_orders].[fulfillment].[fulfillment]" caption="fulfillment" numFmtId="0" hierarchy="13" level="1">
      <sharedItems count="2">
        <s v="In store"/>
        <s v="Online"/>
      </sharedItems>
    </cacheField>
  </cacheFields>
  <cacheHierarchies count="29">
    <cacheHierarchy uniqueName="[normalized_sales_orders].[order_number]" caption="order_number" attribute="1" defaultMemberUniqueName="[normalized_sales_orders].[order_number].[All]" allUniqueName="[normalized_sales_orders].[order_number].[All]" dimensionUniqueName="[normalized_sales_orders]" displayFolder="" count="0" memberValueDatatype="20" unbalanced="0"/>
    <cacheHierarchy uniqueName="[normalized_sales_orders].[fulfillment]" caption="fulfillment" attribute="1" defaultMemberUniqueName="[normalized_sales_orders].[fulfillment].[All]" allUniqueName="[normalized_sales_orders].[fulfillment].[All]" dimensionUniqueName="[normalized_sales_orders]" displayFolder="" count="0" memberValueDatatype="130" unbalanced="0"/>
    <cacheHierarchy uniqueName="[normalized_sales_orders].[product_name]" caption="product_name" attribute="1" defaultMemberUniqueName="[normalized_sales_orders].[product_name].[All]" allUniqueName="[normalized_sales_orders].[product_name].[All]" dimensionUniqueName="[normalized_sales_orders]" displayFolder="" count="0" memberValueDatatype="130" unbalanced="0"/>
    <cacheHierarchy uniqueName="[normalized_sales_orders].[product_price]" caption="product_price" attribute="1" defaultMemberUniqueName="[normalized_sales_orders].[product_price].[All]" allUniqueName="[normalized_sales_orders].[product_price].[All]" dimensionUniqueName="[normalized_sales_orders]" displayFolder="" count="0" memberValueDatatype="5" unbalanced="0"/>
    <cacheHierarchy uniqueName="[normalized_sales_orders].[quantity]" caption="quantity" attribute="1" defaultMemberUniqueName="[normalized_sales_orders].[quantity].[All]" allUniqueName="[normalized_sales_orders].[quantity].[All]" dimensionUniqueName="[normalized_sales_orders]" displayFolder="" count="0" memberValueDatatype="20" unbalanced="0"/>
    <cacheHierarchy uniqueName="[order_analysis].[order_number]" caption="order_number" attribute="1" defaultMemberUniqueName="[order_analysis].[order_number].[All]" allUniqueName="[order_analysis].[order_number].[All]" dimensionUniqueName="[order_analysis]" displayFolder="" count="0" memberValueDatatype="20" unbalanced="0"/>
    <cacheHierarchy uniqueName="[order_analysis].[fulfillment]" caption="fulfillment" attribute="1" defaultMemberUniqueName="[order_analysis].[fulfillment].[All]" allUniqueName="[order_analysis].[fulfillment].[All]" dimensionUniqueName="[order_analysis]" displayFolder="" count="0" memberValueDatatype="130" unbalanced="0"/>
    <cacheHierarchy uniqueName="[order_analysis].[num_products_bin]" caption="num_products_bin" attribute="1" defaultMemberUniqueName="[order_analysis].[num_products_bin].[All]" allUniqueName="[order_analysis].[num_products_bin].[All]" dimensionUniqueName="[order_analysis]" displayFolder="" count="0" memberValueDatatype="130" unbalanced="0"/>
    <cacheHierarchy uniqueName="[order_analysis].[num_products]" caption="num_products" attribute="1" defaultMemberUniqueName="[order_analysis].[num_products].[All]" allUniqueName="[order_analysis].[num_products].[All]" dimensionUniqueName="[order_analysis]" displayFolder="" count="0" memberValueDatatype="20" unbalanced="0"/>
    <cacheHierarchy uniqueName="[order_analysis].[total_sales]" caption="total_sales" attribute="1" defaultMemberUniqueName="[order_analysis].[total_sales].[All]" allUniqueName="[order_analysis].[total_sales].[All]" dimensionUniqueName="[order_analysis]" displayFolder="" count="0" memberValueDatatype="5" unbalanced="0"/>
    <cacheHierarchy uniqueName="[sales_orders].[order_number]" caption="order_number" attribute="1" defaultMemberUniqueName="[sales_orders].[order_number].[All]" allUniqueName="[sales_orders].[order_number].[All]" dimensionUniqueName="[sales_orders]" displayFolder="" count="0" memberValueDatatype="20" unbalanced="0"/>
    <cacheHierarchy uniqueName="[sales_orders].[order_date]" caption="order_date" attribute="1" time="1" defaultMemberUniqueName="[sales_orders].[order_date].[All]" allUniqueName="[sales_orders].[order_date].[All]" dimensionUniqueName="[sales_orders]" displayFolder="" count="2" memberValueDatatype="7" unbalanced="0">
      <fieldsUsage count="2">
        <fieldUsage x="-1"/>
        <fieldUsage x="1"/>
      </fieldsUsage>
    </cacheHierarchy>
    <cacheHierarchy uniqueName="[sales_orders].[line_items]" caption="line_items" attribute="1" defaultMemberUniqueName="[sales_orders].[line_items].[All]" allUniqueName="[sales_orders].[line_items].[All]" dimensionUniqueName="[sales_orders]" displayFolder="" count="0" memberValueDatatype="130" unbalanced="0"/>
    <cacheHierarchy uniqueName="[sales_orders].[fulfillment]" caption="fulfillment" attribute="1" defaultMemberUniqueName="[sales_orders].[fulfillment].[All]" allUniqueName="[sales_orders].[fulfillment].[All]" dimensionUniqueName="[sales_orders]" displayFolder="" count="2" memberValueDatatype="130" unbalanced="0">
      <fieldsUsage count="2">
        <fieldUsage x="-1"/>
        <fieldUsage x="2"/>
      </fieldsUsage>
    </cacheHierarchy>
    <cacheHierarchy uniqueName="[sales_orders].[order_date (Year)]" caption="order_date (Year)" attribute="1" defaultMemberUniqueName="[sales_orders].[order_date (Year)].[All]" allUniqueName="[sales_orders].[order_date (Year)].[All]" dimensionUniqueName="[sales_orders]" displayFolder="" count="0" memberValueDatatype="130" unbalanced="0"/>
    <cacheHierarchy uniqueName="[sales_orders].[order_date (Quarter)]" caption="order_date (Quarter)" attribute="1" defaultMemberUniqueName="[sales_orders].[order_date (Quarter)].[All]" allUniqueName="[sales_orders].[order_date (Quarter)].[All]" dimensionUniqueName="[sales_orders]" displayFolder="" count="0" memberValueDatatype="130" unbalanced="0"/>
    <cacheHierarchy uniqueName="[sales_orders].[order_date (Month)]" caption="order_date (Month)" attribute="1" defaultMemberUniqueName="[sales_orders].[order_date (Month)].[All]" allUniqueName="[sales_orders].[order_date (Month)].[All]" dimensionUniqueName="[sales_orders]" displayFolder="" count="0" memberValueDatatype="130" unbalanced="0"/>
    <cacheHierarchy uniqueName="[sales_orders].[order_date (Month Index)]" caption="order_date (Month Index)" attribute="1" defaultMemberUniqueName="[sales_orders].[order_date (Month Index)].[All]" allUniqueName="[sales_orders].[order_date (Month Index)].[All]" dimensionUniqueName="[sales_orders]" displayFolder="" count="0" memberValueDatatype="20" unbalanced="0" hidden="1"/>
    <cacheHierarchy uniqueName="[Measures].[Sum of total_sales 2]" caption="Sum of total_sales 2" measure="1" displayFolder="" measureGroup="order_analysis" count="0">
      <extLst>
        <ext xmlns:x15="http://schemas.microsoft.com/office/spreadsheetml/2010/11/main" uri="{B97F6D7D-B522-45F9-BDA1-12C45D357490}">
          <x15:cacheHierarchy aggregatedColumn="9"/>
        </ext>
      </extLst>
    </cacheHierarchy>
    <cacheHierarchy uniqueName="[Measures].[Sum of num_products]" caption="Sum of num_products" measure="1" displayFolder="" measureGroup="order_analysis"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normalized_sales_orders" count="0">
      <extLst>
        <ext xmlns:x15="http://schemas.microsoft.com/office/spreadsheetml/2010/11/main" uri="{B97F6D7D-B522-45F9-BDA1-12C45D357490}">
          <x15:cacheHierarchy aggregatedColumn="4"/>
        </ext>
      </extLst>
    </cacheHierarchy>
    <cacheHierarchy uniqueName="[Measures].[Count of fulfillment]" caption="Count of fulfillment" measure="1" displayFolder="" measureGroup="sales_orders" count="0">
      <extLst>
        <ext xmlns:x15="http://schemas.microsoft.com/office/spreadsheetml/2010/11/main" uri="{B97F6D7D-B522-45F9-BDA1-12C45D357490}">
          <x15:cacheHierarchy aggregatedColumn="13"/>
        </ext>
      </extLst>
    </cacheHierarchy>
    <cacheHierarchy uniqueName="[Measures].[Total Orders]" caption="Total Orders" measure="1" displayFolder="" measureGroup="normalized_sales_orders" count="0"/>
    <cacheHierarchy uniqueName="[Measures].[Total Sales]" caption="Total Sales" measure="1" displayFolder="" measureGroup="normalized_sales_orders" count="0"/>
    <cacheHierarchy uniqueName="[Measures].[Average Order Value]" caption="Average Order Value" measure="1" displayFolder="" measureGroup="normalized_sales_orders" count="0" oneField="1">
      <fieldsUsage count="1">
        <fieldUsage x="0"/>
      </fieldsUsage>
    </cacheHierarchy>
    <cacheHierarchy uniqueName="[Measures].[__XL_Count normalized_sales_orders]" caption="__XL_Count normalized_sales_orders" measure="1" displayFolder="" measureGroup="normalized_sales_orders" count="0" hidden="1"/>
    <cacheHierarchy uniqueName="[Measures].[__XL_Count order_analysis]" caption="__XL_Count order_analysis" measure="1" displayFolder="" measureGroup="order_analysi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dimensions count="4">
    <dimension measure="1" name="Measures" uniqueName="[Measures]" caption="Measures"/>
    <dimension name="normalized_sales_orders" uniqueName="[normalized_sales_orders]" caption="normalized_sales_orders"/>
    <dimension name="order_analysis" uniqueName="[order_analysis]" caption="order_analysis"/>
    <dimension name="sales_orders" uniqueName="[sales_orders]" caption="sales_orders"/>
  </dimensions>
  <measureGroups count="3">
    <measureGroup name="normalized_sales_orders" caption="normalized_sales_orders"/>
    <measureGroup name="order_analysis" caption="order_analysis"/>
    <measureGroup name="sales_orders" caption="sales_ord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opher Barnett" refreshedDate="46137.421232754627" createdVersion="5" refreshedVersion="8" minRefreshableVersion="3" recordCount="0" supportSubquery="1" supportAdvancedDrill="1" xr:uid="{66626BEA-2AF2-404D-BBA9-B9A093CE56C5}">
  <cacheSource type="external" connectionId="4"/>
  <cacheFields count="3">
    <cacheField name="[normalized_sales_orders].[fulfillment].[fulfillment]" caption="fulfillment" numFmtId="0" hierarchy="1" level="1">
      <sharedItems count="2">
        <s v="In store"/>
        <s v="Online"/>
      </sharedItems>
    </cacheField>
    <cacheField name="[Measures].[Total Sales]" caption="Total Sales" numFmtId="0" hierarchy="23" level="32767"/>
    <cacheField name="[sales_orders].[order_date].[order_date]" caption="order_date" numFmtId="0" hierarchy="11" level="1">
      <sharedItems containsSemiMixedTypes="0" containsNonDate="0" containsString="0"/>
    </cacheField>
  </cacheFields>
  <cacheHierarchies count="29">
    <cacheHierarchy uniqueName="[normalized_sales_orders].[order_number]" caption="order_number" attribute="1" defaultMemberUniqueName="[normalized_sales_orders].[order_number].[All]" allUniqueName="[normalized_sales_orders].[order_number].[All]" dimensionUniqueName="[normalized_sales_orders]" displayFolder="" count="0" memberValueDatatype="20" unbalanced="0"/>
    <cacheHierarchy uniqueName="[normalized_sales_orders].[fulfillment]" caption="fulfillment" attribute="1" defaultMemberUniqueName="[normalized_sales_orders].[fulfillment].[All]" allUniqueName="[normalized_sales_orders].[fulfillment].[All]" dimensionUniqueName="[normalized_sales_orders]" displayFolder="" count="2" memberValueDatatype="130" unbalanced="0">
      <fieldsUsage count="2">
        <fieldUsage x="-1"/>
        <fieldUsage x="0"/>
      </fieldsUsage>
    </cacheHierarchy>
    <cacheHierarchy uniqueName="[normalized_sales_orders].[product_name]" caption="product_name" attribute="1" defaultMemberUniqueName="[normalized_sales_orders].[product_name].[All]" allUniqueName="[normalized_sales_orders].[product_name].[All]" dimensionUniqueName="[normalized_sales_orders]" displayFolder="" count="0" memberValueDatatype="130" unbalanced="0"/>
    <cacheHierarchy uniqueName="[normalized_sales_orders].[product_price]" caption="product_price" attribute="1" defaultMemberUniqueName="[normalized_sales_orders].[product_price].[All]" allUniqueName="[normalized_sales_orders].[product_price].[All]" dimensionUniqueName="[normalized_sales_orders]" displayFolder="" count="0" memberValueDatatype="5" unbalanced="0"/>
    <cacheHierarchy uniqueName="[normalized_sales_orders].[quantity]" caption="quantity" attribute="1" defaultMemberUniqueName="[normalized_sales_orders].[quantity].[All]" allUniqueName="[normalized_sales_orders].[quantity].[All]" dimensionUniqueName="[normalized_sales_orders]" displayFolder="" count="0" memberValueDatatype="20" unbalanced="0"/>
    <cacheHierarchy uniqueName="[order_analysis].[order_number]" caption="order_number" attribute="1" defaultMemberUniqueName="[order_analysis].[order_number].[All]" allUniqueName="[order_analysis].[order_number].[All]" dimensionUniqueName="[order_analysis]" displayFolder="" count="0" memberValueDatatype="20" unbalanced="0"/>
    <cacheHierarchy uniqueName="[order_analysis].[fulfillment]" caption="fulfillment" attribute="1" defaultMemberUniqueName="[order_analysis].[fulfillment].[All]" allUniqueName="[order_analysis].[fulfillment].[All]" dimensionUniqueName="[order_analysis]" displayFolder="" count="0" memberValueDatatype="130" unbalanced="0"/>
    <cacheHierarchy uniqueName="[order_analysis].[num_products_bin]" caption="num_products_bin" attribute="1" defaultMemberUniqueName="[order_analysis].[num_products_bin].[All]" allUniqueName="[order_analysis].[num_products_bin].[All]" dimensionUniqueName="[order_analysis]" displayFolder="" count="0" memberValueDatatype="130" unbalanced="0"/>
    <cacheHierarchy uniqueName="[order_analysis].[num_products]" caption="num_products" attribute="1" defaultMemberUniqueName="[order_analysis].[num_products].[All]" allUniqueName="[order_analysis].[num_products].[All]" dimensionUniqueName="[order_analysis]" displayFolder="" count="0" memberValueDatatype="20" unbalanced="0"/>
    <cacheHierarchy uniqueName="[order_analysis].[total_sales]" caption="total_sales" attribute="1" defaultMemberUniqueName="[order_analysis].[total_sales].[All]" allUniqueName="[order_analysis].[total_sales].[All]" dimensionUniqueName="[order_analysis]" displayFolder="" count="0" memberValueDatatype="5" unbalanced="0"/>
    <cacheHierarchy uniqueName="[sales_orders].[order_number]" caption="order_number" attribute="1" defaultMemberUniqueName="[sales_orders].[order_number].[All]" allUniqueName="[sales_orders].[order_number].[All]" dimensionUniqueName="[sales_orders]" displayFolder="" count="0" memberValueDatatype="20" unbalanced="0"/>
    <cacheHierarchy uniqueName="[sales_orders].[order_date]" caption="order_date" attribute="1" time="1" defaultMemberUniqueName="[sales_orders].[order_date].[All]" allUniqueName="[sales_orders].[order_date].[All]" dimensionUniqueName="[sales_orders]" displayFolder="" count="2" memberValueDatatype="7" unbalanced="0">
      <fieldsUsage count="2">
        <fieldUsage x="-1"/>
        <fieldUsage x="2"/>
      </fieldsUsage>
    </cacheHierarchy>
    <cacheHierarchy uniqueName="[sales_orders].[line_items]" caption="line_items" attribute="1" defaultMemberUniqueName="[sales_orders].[line_items].[All]" allUniqueName="[sales_orders].[line_items].[All]" dimensionUniqueName="[sales_orders]" displayFolder="" count="0" memberValueDatatype="130" unbalanced="0"/>
    <cacheHierarchy uniqueName="[sales_orders].[fulfillment]" caption="fulfillment" attribute="1" defaultMemberUniqueName="[sales_orders].[fulfillment].[All]" allUniqueName="[sales_orders].[fulfillment].[All]" dimensionUniqueName="[sales_orders]" displayFolder="" count="0" memberValueDatatype="130" unbalanced="0"/>
    <cacheHierarchy uniqueName="[sales_orders].[order_date (Year)]" caption="order_date (Year)" attribute="1" defaultMemberUniqueName="[sales_orders].[order_date (Year)].[All]" allUniqueName="[sales_orders].[order_date (Year)].[All]" dimensionUniqueName="[sales_orders]" displayFolder="" count="0" memberValueDatatype="130" unbalanced="0"/>
    <cacheHierarchy uniqueName="[sales_orders].[order_date (Quarter)]" caption="order_date (Quarter)" attribute="1" defaultMemberUniqueName="[sales_orders].[order_date (Quarter)].[All]" allUniqueName="[sales_orders].[order_date (Quarter)].[All]" dimensionUniqueName="[sales_orders]" displayFolder="" count="0" memberValueDatatype="130" unbalanced="0"/>
    <cacheHierarchy uniqueName="[sales_orders].[order_date (Month)]" caption="order_date (Month)" attribute="1" defaultMemberUniqueName="[sales_orders].[order_date (Month)].[All]" allUniqueName="[sales_orders].[order_date (Month)].[All]" dimensionUniqueName="[sales_orders]" displayFolder="" count="0" memberValueDatatype="130" unbalanced="0"/>
    <cacheHierarchy uniqueName="[sales_orders].[order_date (Month Index)]" caption="order_date (Month Index)" attribute="1" defaultMemberUniqueName="[sales_orders].[order_date (Month Index)].[All]" allUniqueName="[sales_orders].[order_date (Month Index)].[All]" dimensionUniqueName="[sales_orders]" displayFolder="" count="0" memberValueDatatype="20" unbalanced="0" hidden="1"/>
    <cacheHierarchy uniqueName="[Measures].[Sum of total_sales 2]" caption="Sum of total_sales 2" measure="1" displayFolder="" measureGroup="order_analysis" count="0">
      <extLst>
        <ext xmlns:x15="http://schemas.microsoft.com/office/spreadsheetml/2010/11/main" uri="{B97F6D7D-B522-45F9-BDA1-12C45D357490}">
          <x15:cacheHierarchy aggregatedColumn="9"/>
        </ext>
      </extLst>
    </cacheHierarchy>
    <cacheHierarchy uniqueName="[Measures].[Sum of num_products]" caption="Sum of num_products" measure="1" displayFolder="" measureGroup="order_analysis"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normalized_sales_orders" count="0">
      <extLst>
        <ext xmlns:x15="http://schemas.microsoft.com/office/spreadsheetml/2010/11/main" uri="{B97F6D7D-B522-45F9-BDA1-12C45D357490}">
          <x15:cacheHierarchy aggregatedColumn="4"/>
        </ext>
      </extLst>
    </cacheHierarchy>
    <cacheHierarchy uniqueName="[Measures].[Count of fulfillment]" caption="Count of fulfillment" measure="1" displayFolder="" measureGroup="sales_orders" count="0">
      <extLst>
        <ext xmlns:x15="http://schemas.microsoft.com/office/spreadsheetml/2010/11/main" uri="{B97F6D7D-B522-45F9-BDA1-12C45D357490}">
          <x15:cacheHierarchy aggregatedColumn="13"/>
        </ext>
      </extLst>
    </cacheHierarchy>
    <cacheHierarchy uniqueName="[Measures].[Total Orders]" caption="Total Orders" measure="1" displayFolder="" measureGroup="normalized_sales_orders" count="0"/>
    <cacheHierarchy uniqueName="[Measures].[Total Sales]" caption="Total Sales" measure="1" displayFolder="" measureGroup="normalized_sales_orders" count="0" oneField="1">
      <fieldsUsage count="1">
        <fieldUsage x="1"/>
      </fieldsUsage>
    </cacheHierarchy>
    <cacheHierarchy uniqueName="[Measures].[Average Order Value]" caption="Average Order Value" measure="1" displayFolder="" measureGroup="normalized_sales_orders" count="0"/>
    <cacheHierarchy uniqueName="[Measures].[__XL_Count normalized_sales_orders]" caption="__XL_Count normalized_sales_orders" measure="1" displayFolder="" measureGroup="normalized_sales_orders" count="0" hidden="1"/>
    <cacheHierarchy uniqueName="[Measures].[__XL_Count order_analysis]" caption="__XL_Count order_analysis" measure="1" displayFolder="" measureGroup="order_analysi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dimensions count="4">
    <dimension measure="1" name="Measures" uniqueName="[Measures]" caption="Measures"/>
    <dimension name="normalized_sales_orders" uniqueName="[normalized_sales_orders]" caption="normalized_sales_orders"/>
    <dimension name="order_analysis" uniqueName="[order_analysis]" caption="order_analysis"/>
    <dimension name="sales_orders" uniqueName="[sales_orders]" caption="sales_orders"/>
  </dimensions>
  <measureGroups count="3">
    <measureGroup name="normalized_sales_orders" caption="normalized_sales_orders"/>
    <measureGroup name="order_analysis" caption="order_analysis"/>
    <measureGroup name="sales_orders" caption="sales_ord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opher Barnett" refreshedDate="46137.760165509259" createdVersion="5" refreshedVersion="8" minRefreshableVersion="3" recordCount="0" supportSubquery="1" supportAdvancedDrill="1" xr:uid="{7B29228C-877F-4E80-976D-420BC62D15F4}">
  <cacheSource type="external" connectionId="4"/>
  <cacheFields count="5">
    <cacheField name="[Measures].[Total Sales]" caption="Total Sales" numFmtId="0" hierarchy="23" level="32767"/>
    <cacheField name="[order_analysis].[order_number].[order_number]" caption="order_number" numFmtId="0" hierarchy="5" level="1">
      <sharedItems containsSemiMixedTypes="0" containsString="0" containsNumber="1" containsInteger="1" minValue="1321003" maxValue="1885025" count="5">
        <n v="1321003"/>
        <n v="1371011"/>
        <n v="1599043"/>
        <n v="1812007"/>
        <n v="1885025"/>
      </sharedItems>
      <extLst>
        <ext xmlns:x15="http://schemas.microsoft.com/office/spreadsheetml/2010/11/main" uri="{4F2E5C28-24EA-4eb8-9CBF-B6C8F9C3D259}">
          <x15:cachedUniqueNames>
            <x15:cachedUniqueName index="0" name="[order_analysis].[order_number].&amp;[1321003]"/>
            <x15:cachedUniqueName index="1" name="[order_analysis].[order_number].&amp;[1371011]"/>
            <x15:cachedUniqueName index="2" name="[order_analysis].[order_number].&amp;[1599043]"/>
            <x15:cachedUniqueName index="3" name="[order_analysis].[order_number].&amp;[1812007]"/>
            <x15:cachedUniqueName index="4" name="[order_analysis].[order_number].&amp;[1885025]"/>
          </x15:cachedUniqueNames>
        </ext>
      </extLst>
    </cacheField>
    <cacheField name="[Measures].[Sum of num_products]" caption="Sum of num_products" numFmtId="0" hierarchy="19" level="32767"/>
    <cacheField name="[sales_orders].[order_date].[order_date]" caption="order_date" numFmtId="0" hierarchy="11" level="1">
      <sharedItems containsSemiMixedTypes="0" containsNonDate="0" containsString="0"/>
    </cacheField>
    <cacheField name="[sales_orders].[order_date (Year)].[order_date (Year)]" caption="order_date (Year)" numFmtId="0" hierarchy="14" level="1">
      <sharedItems containsSemiMixedTypes="0" containsNonDate="0" containsString="0"/>
    </cacheField>
  </cacheFields>
  <cacheHierarchies count="29">
    <cacheHierarchy uniqueName="[normalized_sales_orders].[order_number]" caption="order_number" attribute="1" defaultMemberUniqueName="[normalized_sales_orders].[order_number].[All]" allUniqueName="[normalized_sales_orders].[order_number].[All]" dimensionUniqueName="[normalized_sales_orders]" displayFolder="" count="2" memberValueDatatype="20" unbalanced="0"/>
    <cacheHierarchy uniqueName="[normalized_sales_orders].[fulfillment]" caption="fulfillment" attribute="1" defaultMemberUniqueName="[normalized_sales_orders].[fulfillment].[All]" allUniqueName="[normalized_sales_orders].[fulfillment].[All]" dimensionUniqueName="[normalized_sales_orders]" displayFolder="" count="2" memberValueDatatype="130" unbalanced="0"/>
    <cacheHierarchy uniqueName="[normalized_sales_orders].[product_name]" caption="product_name" attribute="1" defaultMemberUniqueName="[normalized_sales_orders].[product_name].[All]" allUniqueName="[normalized_sales_orders].[product_name].[All]" dimensionUniqueName="[normalized_sales_orders]" displayFolder="" count="2" memberValueDatatype="130" unbalanced="0"/>
    <cacheHierarchy uniqueName="[normalized_sales_orders].[product_price]" caption="product_price" attribute="1" defaultMemberUniqueName="[normalized_sales_orders].[product_price].[All]" allUniqueName="[normalized_sales_orders].[product_price].[All]" dimensionUniqueName="[normalized_sales_orders]" displayFolder="" count="2" memberValueDatatype="5" unbalanced="0"/>
    <cacheHierarchy uniqueName="[normalized_sales_orders].[quantity]" caption="quantity" attribute="1" defaultMemberUniqueName="[normalized_sales_orders].[quantity].[All]" allUniqueName="[normalized_sales_orders].[quantity].[All]" dimensionUniqueName="[normalized_sales_orders]" displayFolder="" count="2" memberValueDatatype="20" unbalanced="0"/>
    <cacheHierarchy uniqueName="[order_analysis].[order_number]" caption="order_number" attribute="1" defaultMemberUniqueName="[order_analysis].[order_number].[All]" allUniqueName="[order_analysis].[order_number].[All]" dimensionUniqueName="[order_analysis]" displayFolder="" count="2" memberValueDatatype="20" unbalanced="0">
      <fieldsUsage count="2">
        <fieldUsage x="-1"/>
        <fieldUsage x="1"/>
      </fieldsUsage>
    </cacheHierarchy>
    <cacheHierarchy uniqueName="[order_analysis].[fulfillment]" caption="fulfillment" attribute="1" defaultMemberUniqueName="[order_analysis].[fulfillment].[All]" allUniqueName="[order_analysis].[fulfillment].[All]" dimensionUniqueName="[order_analysis]" displayFolder="" count="2" memberValueDatatype="130" unbalanced="0"/>
    <cacheHierarchy uniqueName="[order_analysis].[num_products_bin]" caption="num_products_bin" attribute="1" defaultMemberUniqueName="[order_analysis].[num_products_bin].[All]" allUniqueName="[order_analysis].[num_products_bin].[All]" dimensionUniqueName="[order_analysis]" displayFolder="" count="2" memberValueDatatype="130" unbalanced="0"/>
    <cacheHierarchy uniqueName="[order_analysis].[num_products]" caption="num_products" attribute="1" defaultMemberUniqueName="[order_analysis].[num_products].[All]" allUniqueName="[order_analysis].[num_products].[All]" dimensionUniqueName="[order_analysis]" displayFolder="" count="2" memberValueDatatype="20" unbalanced="0"/>
    <cacheHierarchy uniqueName="[order_analysis].[total_sales]" caption="total_sales" attribute="1" defaultMemberUniqueName="[order_analysis].[total_sales].[All]" allUniqueName="[order_analysis].[total_sales].[All]" dimensionUniqueName="[order_analysis]" displayFolder="" count="2" memberValueDatatype="5" unbalanced="0"/>
    <cacheHierarchy uniqueName="[sales_orders].[order_number]" caption="order_number" attribute="1" defaultMemberUniqueName="[sales_orders].[order_number].[All]" allUniqueName="[sales_orders].[order_number].[All]" dimensionUniqueName="[sales_orders]" displayFolder="" count="2" memberValueDatatype="20" unbalanced="0"/>
    <cacheHierarchy uniqueName="[sales_orders].[order_date]" caption="order_date" attribute="1" time="1" defaultMemberUniqueName="[sales_orders].[order_date].[All]" allUniqueName="[sales_orders].[order_date].[All]" dimensionUniqueName="[sales_orders]" displayFolder="" count="2" memberValueDatatype="7" unbalanced="0">
      <fieldsUsage count="2">
        <fieldUsage x="-1"/>
        <fieldUsage x="3"/>
      </fieldsUsage>
    </cacheHierarchy>
    <cacheHierarchy uniqueName="[sales_orders].[line_items]" caption="line_items" attribute="1" defaultMemberUniqueName="[sales_orders].[line_items].[All]" allUniqueName="[sales_orders].[line_items].[All]" dimensionUniqueName="[sales_orders]" displayFolder="" count="2" memberValueDatatype="130" unbalanced="0"/>
    <cacheHierarchy uniqueName="[sales_orders].[fulfillment]" caption="fulfillment" attribute="1" defaultMemberUniqueName="[sales_orders].[fulfillment].[All]" allUniqueName="[sales_orders].[fulfillment].[All]" dimensionUniqueName="[sales_orders]" displayFolder="" count="2" memberValueDatatype="130" unbalanced="0"/>
    <cacheHierarchy uniqueName="[sales_orders].[order_date (Year)]" caption="order_date (Year)" attribute="1" defaultMemberUniqueName="[sales_orders].[order_date (Year)].[All]" allUniqueName="[sales_orders].[order_date (Year)].[All]" dimensionUniqueName="[sales_orders]" displayFolder="" count="2" memberValueDatatype="130" unbalanced="0">
      <fieldsUsage count="2">
        <fieldUsage x="-1"/>
        <fieldUsage x="4"/>
      </fieldsUsage>
    </cacheHierarchy>
    <cacheHierarchy uniqueName="[sales_orders].[order_date (Quarter)]" caption="order_date (Quarter)" attribute="1" defaultMemberUniqueName="[sales_orders].[order_date (Quarter)].[All]" allUniqueName="[sales_orders].[order_date (Quarter)].[All]" dimensionUniqueName="[sales_orders]" displayFolder="" count="2" memberValueDatatype="130" unbalanced="0"/>
    <cacheHierarchy uniqueName="[sales_orders].[order_date (Month)]" caption="order_date (Month)" attribute="1" defaultMemberUniqueName="[sales_orders].[order_date (Month)].[All]" allUniqueName="[sales_orders].[order_date (Month)].[All]" dimensionUniqueName="[sales_orders]" displayFolder="" count="2" memberValueDatatype="130" unbalanced="0"/>
    <cacheHierarchy uniqueName="[sales_orders].[order_date (Month Index)]" caption="order_date (Month Index)" attribute="1" defaultMemberUniqueName="[sales_orders].[order_date (Month Index)].[All]" allUniqueName="[sales_orders].[order_date (Month Index)].[All]" dimensionUniqueName="[sales_orders]" displayFolder="" count="2" memberValueDatatype="20" unbalanced="0" hidden="1"/>
    <cacheHierarchy uniqueName="[Measures].[Sum of total_sales 2]" caption="Sum of total_sales 2" measure="1" displayFolder="" measureGroup="order_analysis" count="0">
      <extLst>
        <ext xmlns:x15="http://schemas.microsoft.com/office/spreadsheetml/2010/11/main" uri="{B97F6D7D-B522-45F9-BDA1-12C45D357490}">
          <x15:cacheHierarchy aggregatedColumn="9"/>
        </ext>
      </extLst>
    </cacheHierarchy>
    <cacheHierarchy uniqueName="[Measures].[Sum of num_products]" caption="Sum of num_products" measure="1" displayFolder="" measureGroup="order_analysis" count="0" oneField="1">
      <fieldsUsage count="1">
        <fieldUsage x="2"/>
      </fieldsUsage>
      <extLst>
        <ext xmlns:x15="http://schemas.microsoft.com/office/spreadsheetml/2010/11/main" uri="{B97F6D7D-B522-45F9-BDA1-12C45D357490}">
          <x15:cacheHierarchy aggregatedColumn="8"/>
        </ext>
      </extLst>
    </cacheHierarchy>
    <cacheHierarchy uniqueName="[Measures].[Sum of quantity]" caption="Sum of quantity" measure="1" displayFolder="" measureGroup="normalized_sales_orders" count="0">
      <extLst>
        <ext xmlns:x15="http://schemas.microsoft.com/office/spreadsheetml/2010/11/main" uri="{B97F6D7D-B522-45F9-BDA1-12C45D357490}">
          <x15:cacheHierarchy aggregatedColumn="4"/>
        </ext>
      </extLst>
    </cacheHierarchy>
    <cacheHierarchy uniqueName="[Measures].[Count of fulfillment]" caption="Count of fulfillment" measure="1" displayFolder="" measureGroup="sales_orders" count="0">
      <extLst>
        <ext xmlns:x15="http://schemas.microsoft.com/office/spreadsheetml/2010/11/main" uri="{B97F6D7D-B522-45F9-BDA1-12C45D357490}">
          <x15:cacheHierarchy aggregatedColumn="13"/>
        </ext>
      </extLst>
    </cacheHierarchy>
    <cacheHierarchy uniqueName="[Measures].[Total Orders]" caption="Total Orders" measure="1" displayFolder="" measureGroup="normalized_sales_orders" count="0"/>
    <cacheHierarchy uniqueName="[Measures].[Total Sales]" caption="Total Sales" measure="1" displayFolder="" measureGroup="normalized_sales_orders" count="0" oneField="1">
      <fieldsUsage count="1">
        <fieldUsage x="0"/>
      </fieldsUsage>
    </cacheHierarchy>
    <cacheHierarchy uniqueName="[Measures].[Average Order Value]" caption="Average Order Value" measure="1" displayFolder="" measureGroup="normalized_sales_orders" count="0"/>
    <cacheHierarchy uniqueName="[Measures].[__XL_Count normalized_sales_orders]" caption="__XL_Count normalized_sales_orders" measure="1" displayFolder="" measureGroup="normalized_sales_orders" count="0" hidden="1"/>
    <cacheHierarchy uniqueName="[Measures].[__XL_Count order_analysis]" caption="__XL_Count order_analysis" measure="1" displayFolder="" measureGroup="order_analysi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dimensions count="4">
    <dimension measure="1" name="Measures" uniqueName="[Measures]" caption="Measures"/>
    <dimension name="normalized_sales_orders" uniqueName="[normalized_sales_orders]" caption="normalized_sales_orders"/>
    <dimension name="order_analysis" uniqueName="[order_analysis]" caption="order_analysis"/>
    <dimension name="sales_orders" uniqueName="[sales_orders]" caption="sales_orders"/>
  </dimensions>
  <measureGroups count="3">
    <measureGroup name="normalized_sales_orders" caption="normalized_sales_orders"/>
    <measureGroup name="order_analysis" caption="order_analysis"/>
    <measureGroup name="sales_orders" caption="sales_ord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opher Barnett" refreshedDate="46137.760166087966" createdVersion="5" refreshedVersion="8" minRefreshableVersion="3" recordCount="0" supportSubquery="1" supportAdvancedDrill="1" xr:uid="{B66F0A65-DECE-411A-92BE-3BBDFF77997B}">
  <cacheSource type="external" connectionId="4"/>
  <cacheFields count="4">
    <cacheField name="[Measures].[Average Order Value]" caption="Average Order Value" numFmtId="0" hierarchy="24" level="32767"/>
    <cacheField name="[sales_orders].[order_date].[order_date]" caption="order_date" numFmtId="0" hierarchy="11" level="1">
      <sharedItems containsSemiMixedTypes="0" containsNonDate="0" containsString="0"/>
    </cacheField>
    <cacheField name="[sales_orders].[fulfillment].[fulfillment]" caption="fulfillment" numFmtId="0" hierarchy="13" level="1">
      <sharedItems count="2">
        <s v="In store"/>
        <s v="Online"/>
      </sharedItems>
    </cacheField>
    <cacheField name="[sales_orders].[order_date (Year)].[order_date (Year)]" caption="order_date (Year)" numFmtId="0" hierarchy="14" level="1">
      <sharedItems containsSemiMixedTypes="0" containsNonDate="0" containsString="0"/>
    </cacheField>
  </cacheFields>
  <cacheHierarchies count="29">
    <cacheHierarchy uniqueName="[normalized_sales_orders].[order_number]" caption="order_number" attribute="1" defaultMemberUniqueName="[normalized_sales_orders].[order_number].[All]" allUniqueName="[normalized_sales_orders].[order_number].[All]" dimensionUniqueName="[normalized_sales_orders]" displayFolder="" count="0" memberValueDatatype="20" unbalanced="0"/>
    <cacheHierarchy uniqueName="[normalized_sales_orders].[fulfillment]" caption="fulfillment" attribute="1" defaultMemberUniqueName="[normalized_sales_orders].[fulfillment].[All]" allUniqueName="[normalized_sales_orders].[fulfillment].[All]" dimensionUniqueName="[normalized_sales_orders]" displayFolder="" count="0" memberValueDatatype="130" unbalanced="0"/>
    <cacheHierarchy uniqueName="[normalized_sales_orders].[product_name]" caption="product_name" attribute="1" defaultMemberUniqueName="[normalized_sales_orders].[product_name].[All]" allUniqueName="[normalized_sales_orders].[product_name].[All]" dimensionUniqueName="[normalized_sales_orders]" displayFolder="" count="0" memberValueDatatype="130" unbalanced="0"/>
    <cacheHierarchy uniqueName="[normalized_sales_orders].[product_price]" caption="product_price" attribute="1" defaultMemberUniqueName="[normalized_sales_orders].[product_price].[All]" allUniqueName="[normalized_sales_orders].[product_price].[All]" dimensionUniqueName="[normalized_sales_orders]" displayFolder="" count="0" memberValueDatatype="5" unbalanced="0"/>
    <cacheHierarchy uniqueName="[normalized_sales_orders].[quantity]" caption="quantity" attribute="1" defaultMemberUniqueName="[normalized_sales_orders].[quantity].[All]" allUniqueName="[normalized_sales_orders].[quantity].[All]" dimensionUniqueName="[normalized_sales_orders]" displayFolder="" count="0" memberValueDatatype="20" unbalanced="0"/>
    <cacheHierarchy uniqueName="[order_analysis].[order_number]" caption="order_number" attribute="1" defaultMemberUniqueName="[order_analysis].[order_number].[All]" allUniqueName="[order_analysis].[order_number].[All]" dimensionUniqueName="[order_analysis]" displayFolder="" count="0" memberValueDatatype="20" unbalanced="0"/>
    <cacheHierarchy uniqueName="[order_analysis].[fulfillment]" caption="fulfillment" attribute="1" defaultMemberUniqueName="[order_analysis].[fulfillment].[All]" allUniqueName="[order_analysis].[fulfillment].[All]" dimensionUniqueName="[order_analysis]" displayFolder="" count="0" memberValueDatatype="130" unbalanced="0"/>
    <cacheHierarchy uniqueName="[order_analysis].[num_products_bin]" caption="num_products_bin" attribute="1" defaultMemberUniqueName="[order_analysis].[num_products_bin].[All]" allUniqueName="[order_analysis].[num_products_bin].[All]" dimensionUniqueName="[order_analysis]" displayFolder="" count="0" memberValueDatatype="130" unbalanced="0"/>
    <cacheHierarchy uniqueName="[order_analysis].[num_products]" caption="num_products" attribute="1" defaultMemberUniqueName="[order_analysis].[num_products].[All]" allUniqueName="[order_analysis].[num_products].[All]" dimensionUniqueName="[order_analysis]" displayFolder="" count="0" memberValueDatatype="20" unbalanced="0"/>
    <cacheHierarchy uniqueName="[order_analysis].[total_sales]" caption="total_sales" attribute="1" defaultMemberUniqueName="[order_analysis].[total_sales].[All]" allUniqueName="[order_analysis].[total_sales].[All]" dimensionUniqueName="[order_analysis]" displayFolder="" count="0" memberValueDatatype="5" unbalanced="0"/>
    <cacheHierarchy uniqueName="[sales_orders].[order_number]" caption="order_number" attribute="1" defaultMemberUniqueName="[sales_orders].[order_number].[All]" allUniqueName="[sales_orders].[order_number].[All]" dimensionUniqueName="[sales_orders]" displayFolder="" count="0" memberValueDatatype="20" unbalanced="0"/>
    <cacheHierarchy uniqueName="[sales_orders].[order_date]" caption="order_date" attribute="1" time="1" defaultMemberUniqueName="[sales_orders].[order_date].[All]" allUniqueName="[sales_orders].[order_date].[All]" dimensionUniqueName="[sales_orders]" displayFolder="" count="2" memberValueDatatype="7" unbalanced="0">
      <fieldsUsage count="2">
        <fieldUsage x="-1"/>
        <fieldUsage x="1"/>
      </fieldsUsage>
    </cacheHierarchy>
    <cacheHierarchy uniqueName="[sales_orders].[line_items]" caption="line_items" attribute="1" defaultMemberUniqueName="[sales_orders].[line_items].[All]" allUniqueName="[sales_orders].[line_items].[All]" dimensionUniqueName="[sales_orders]" displayFolder="" count="0" memberValueDatatype="130" unbalanced="0"/>
    <cacheHierarchy uniqueName="[sales_orders].[fulfillment]" caption="fulfillment" attribute="1" defaultMemberUniqueName="[sales_orders].[fulfillment].[All]" allUniqueName="[sales_orders].[fulfillment].[All]" dimensionUniqueName="[sales_orders]" displayFolder="" count="2" memberValueDatatype="130" unbalanced="0">
      <fieldsUsage count="2">
        <fieldUsage x="-1"/>
        <fieldUsage x="2"/>
      </fieldsUsage>
    </cacheHierarchy>
    <cacheHierarchy uniqueName="[sales_orders].[order_date (Year)]" caption="order_date (Year)" attribute="1" defaultMemberUniqueName="[sales_orders].[order_date (Year)].[All]" allUniqueName="[sales_orders].[order_date (Year)].[All]" dimensionUniqueName="[sales_orders]" displayFolder="" count="2" memberValueDatatype="130" unbalanced="0">
      <fieldsUsage count="2">
        <fieldUsage x="-1"/>
        <fieldUsage x="3"/>
      </fieldsUsage>
    </cacheHierarchy>
    <cacheHierarchy uniqueName="[sales_orders].[order_date (Quarter)]" caption="order_date (Quarter)" attribute="1" defaultMemberUniqueName="[sales_orders].[order_date (Quarter)].[All]" allUniqueName="[sales_orders].[order_date (Quarter)].[All]" dimensionUniqueName="[sales_orders]" displayFolder="" count="0" memberValueDatatype="130" unbalanced="0"/>
    <cacheHierarchy uniqueName="[sales_orders].[order_date (Month)]" caption="order_date (Month)" attribute="1" defaultMemberUniqueName="[sales_orders].[order_date (Month)].[All]" allUniqueName="[sales_orders].[order_date (Month)].[All]" dimensionUniqueName="[sales_orders]" displayFolder="" count="0" memberValueDatatype="130" unbalanced="0"/>
    <cacheHierarchy uniqueName="[sales_orders].[order_date (Month Index)]" caption="order_date (Month Index)" attribute="1" defaultMemberUniqueName="[sales_orders].[order_date (Month Index)].[All]" allUniqueName="[sales_orders].[order_date (Month Index)].[All]" dimensionUniqueName="[sales_orders]" displayFolder="" count="0" memberValueDatatype="20" unbalanced="0" hidden="1"/>
    <cacheHierarchy uniqueName="[Measures].[Sum of total_sales 2]" caption="Sum of total_sales 2" measure="1" displayFolder="" measureGroup="order_analysis" count="0">
      <extLst>
        <ext xmlns:x15="http://schemas.microsoft.com/office/spreadsheetml/2010/11/main" uri="{B97F6D7D-B522-45F9-BDA1-12C45D357490}">
          <x15:cacheHierarchy aggregatedColumn="9"/>
        </ext>
      </extLst>
    </cacheHierarchy>
    <cacheHierarchy uniqueName="[Measures].[Sum of num_products]" caption="Sum of num_products" measure="1" displayFolder="" measureGroup="order_analysis"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normalized_sales_orders" count="0">
      <extLst>
        <ext xmlns:x15="http://schemas.microsoft.com/office/spreadsheetml/2010/11/main" uri="{B97F6D7D-B522-45F9-BDA1-12C45D357490}">
          <x15:cacheHierarchy aggregatedColumn="4"/>
        </ext>
      </extLst>
    </cacheHierarchy>
    <cacheHierarchy uniqueName="[Measures].[Count of fulfillment]" caption="Count of fulfillment" measure="1" displayFolder="" measureGroup="sales_orders" count="0">
      <extLst>
        <ext xmlns:x15="http://schemas.microsoft.com/office/spreadsheetml/2010/11/main" uri="{B97F6D7D-B522-45F9-BDA1-12C45D357490}">
          <x15:cacheHierarchy aggregatedColumn="13"/>
        </ext>
      </extLst>
    </cacheHierarchy>
    <cacheHierarchy uniqueName="[Measures].[Total Orders]" caption="Total Orders" measure="1" displayFolder="" measureGroup="normalized_sales_orders" count="0"/>
    <cacheHierarchy uniqueName="[Measures].[Total Sales]" caption="Total Sales" measure="1" displayFolder="" measureGroup="normalized_sales_orders" count="0"/>
    <cacheHierarchy uniqueName="[Measures].[Average Order Value]" caption="Average Order Value" measure="1" displayFolder="" measureGroup="normalized_sales_orders" count="0" oneField="1">
      <fieldsUsage count="1">
        <fieldUsage x="0"/>
      </fieldsUsage>
    </cacheHierarchy>
    <cacheHierarchy uniqueName="[Measures].[__XL_Count normalized_sales_orders]" caption="__XL_Count normalized_sales_orders" measure="1" displayFolder="" measureGroup="normalized_sales_orders" count="0" hidden="1"/>
    <cacheHierarchy uniqueName="[Measures].[__XL_Count order_analysis]" caption="__XL_Count order_analysis" measure="1" displayFolder="" measureGroup="order_analysi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dimensions count="4">
    <dimension measure="1" name="Measures" uniqueName="[Measures]" caption="Measures"/>
    <dimension name="normalized_sales_orders" uniqueName="[normalized_sales_orders]" caption="normalized_sales_orders"/>
    <dimension name="order_analysis" uniqueName="[order_analysis]" caption="order_analysis"/>
    <dimension name="sales_orders" uniqueName="[sales_orders]" caption="sales_orders"/>
  </dimensions>
  <measureGroups count="3">
    <measureGroup name="normalized_sales_orders" caption="normalized_sales_orders"/>
    <measureGroup name="order_analysis" caption="order_analysis"/>
    <measureGroup name="sales_orders" caption="sales_ord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opher Barnett" refreshedDate="46137.760166435182" createdVersion="5" refreshedVersion="8" minRefreshableVersion="3" recordCount="0" supportSubquery="1" supportAdvancedDrill="1" xr:uid="{FD421979-E9C9-4744-95B4-E9571A5C6BFB}">
  <cacheSource type="external" connectionId="4"/>
  <cacheFields count="4">
    <cacheField name="[Measures].[Total Orders]" caption="Total Orders" numFmtId="0" hierarchy="22" level="32767"/>
    <cacheField name="[sales_orders].[order_date].[order_date]" caption="order_date" numFmtId="0" hierarchy="11" level="1">
      <sharedItems containsSemiMixedTypes="0" containsNonDate="0" containsString="0"/>
    </cacheField>
    <cacheField name="[sales_orders].[fulfillment].[fulfillment]" caption="fulfillment" numFmtId="0" hierarchy="13" level="1">
      <sharedItems count="2">
        <s v="In store"/>
        <s v="Online"/>
      </sharedItems>
    </cacheField>
    <cacheField name="[sales_orders].[order_date (Year)].[order_date (Year)]" caption="order_date (Year)" numFmtId="0" hierarchy="14" level="1">
      <sharedItems containsSemiMixedTypes="0" containsNonDate="0" containsString="0"/>
    </cacheField>
  </cacheFields>
  <cacheHierarchies count="29">
    <cacheHierarchy uniqueName="[normalized_sales_orders].[order_number]" caption="order_number" attribute="1" defaultMemberUniqueName="[normalized_sales_orders].[order_number].[All]" allUniqueName="[normalized_sales_orders].[order_number].[All]" dimensionUniqueName="[normalized_sales_orders]" displayFolder="" count="0" memberValueDatatype="20" unbalanced="0"/>
    <cacheHierarchy uniqueName="[normalized_sales_orders].[fulfillment]" caption="fulfillment" attribute="1" defaultMemberUniqueName="[normalized_sales_orders].[fulfillment].[All]" allUniqueName="[normalized_sales_orders].[fulfillment].[All]" dimensionUniqueName="[normalized_sales_orders]" displayFolder="" count="0" memberValueDatatype="130" unbalanced="0"/>
    <cacheHierarchy uniqueName="[normalized_sales_orders].[product_name]" caption="product_name" attribute="1" defaultMemberUniqueName="[normalized_sales_orders].[product_name].[All]" allUniqueName="[normalized_sales_orders].[product_name].[All]" dimensionUniqueName="[normalized_sales_orders]" displayFolder="" count="0" memberValueDatatype="130" unbalanced="0"/>
    <cacheHierarchy uniqueName="[normalized_sales_orders].[product_price]" caption="product_price" attribute="1" defaultMemberUniqueName="[normalized_sales_orders].[product_price].[All]" allUniqueName="[normalized_sales_orders].[product_price].[All]" dimensionUniqueName="[normalized_sales_orders]" displayFolder="" count="0" memberValueDatatype="5" unbalanced="0"/>
    <cacheHierarchy uniqueName="[normalized_sales_orders].[quantity]" caption="quantity" attribute="1" defaultMemberUniqueName="[normalized_sales_orders].[quantity].[All]" allUniqueName="[normalized_sales_orders].[quantity].[All]" dimensionUniqueName="[normalized_sales_orders]" displayFolder="" count="0" memberValueDatatype="20" unbalanced="0"/>
    <cacheHierarchy uniqueName="[order_analysis].[order_number]" caption="order_number" attribute="1" defaultMemberUniqueName="[order_analysis].[order_number].[All]" allUniqueName="[order_analysis].[order_number].[All]" dimensionUniqueName="[order_analysis]" displayFolder="" count="0" memberValueDatatype="20" unbalanced="0"/>
    <cacheHierarchy uniqueName="[order_analysis].[fulfillment]" caption="fulfillment" attribute="1" defaultMemberUniqueName="[order_analysis].[fulfillment].[All]" allUniqueName="[order_analysis].[fulfillment].[All]" dimensionUniqueName="[order_analysis]" displayFolder="" count="0" memberValueDatatype="130" unbalanced="0"/>
    <cacheHierarchy uniqueName="[order_analysis].[num_products_bin]" caption="num_products_bin" attribute="1" defaultMemberUniqueName="[order_analysis].[num_products_bin].[All]" allUniqueName="[order_analysis].[num_products_bin].[All]" dimensionUniqueName="[order_analysis]" displayFolder="" count="0" memberValueDatatype="130" unbalanced="0"/>
    <cacheHierarchy uniqueName="[order_analysis].[num_products]" caption="num_products" attribute="1" defaultMemberUniqueName="[order_analysis].[num_products].[All]" allUniqueName="[order_analysis].[num_products].[All]" dimensionUniqueName="[order_analysis]" displayFolder="" count="0" memberValueDatatype="20" unbalanced="0"/>
    <cacheHierarchy uniqueName="[order_analysis].[total_sales]" caption="total_sales" attribute="1" defaultMemberUniqueName="[order_analysis].[total_sales].[All]" allUniqueName="[order_analysis].[total_sales].[All]" dimensionUniqueName="[order_analysis]" displayFolder="" count="0" memberValueDatatype="5" unbalanced="0"/>
    <cacheHierarchy uniqueName="[sales_orders].[order_number]" caption="order_number" attribute="1" defaultMemberUniqueName="[sales_orders].[order_number].[All]" allUniqueName="[sales_orders].[order_number].[All]" dimensionUniqueName="[sales_orders]" displayFolder="" count="0" memberValueDatatype="20" unbalanced="0"/>
    <cacheHierarchy uniqueName="[sales_orders].[order_date]" caption="order_date" attribute="1" time="1" defaultMemberUniqueName="[sales_orders].[order_date].[All]" allUniqueName="[sales_orders].[order_date].[All]" dimensionUniqueName="[sales_orders]" displayFolder="" count="2" memberValueDatatype="7" unbalanced="0">
      <fieldsUsage count="2">
        <fieldUsage x="-1"/>
        <fieldUsage x="1"/>
      </fieldsUsage>
    </cacheHierarchy>
    <cacheHierarchy uniqueName="[sales_orders].[line_items]" caption="line_items" attribute="1" defaultMemberUniqueName="[sales_orders].[line_items].[All]" allUniqueName="[sales_orders].[line_items].[All]" dimensionUniqueName="[sales_orders]" displayFolder="" count="0" memberValueDatatype="130" unbalanced="0"/>
    <cacheHierarchy uniqueName="[sales_orders].[fulfillment]" caption="fulfillment" attribute="1" defaultMemberUniqueName="[sales_orders].[fulfillment].[All]" allUniqueName="[sales_orders].[fulfillment].[All]" dimensionUniqueName="[sales_orders]" displayFolder="" count="2" memberValueDatatype="130" unbalanced="0">
      <fieldsUsage count="2">
        <fieldUsage x="-1"/>
        <fieldUsage x="2"/>
      </fieldsUsage>
    </cacheHierarchy>
    <cacheHierarchy uniqueName="[sales_orders].[order_date (Year)]" caption="order_date (Year)" attribute="1" defaultMemberUniqueName="[sales_orders].[order_date (Year)].[All]" allUniqueName="[sales_orders].[order_date (Year)].[All]" dimensionUniqueName="[sales_orders]" displayFolder="" count="2" memberValueDatatype="130" unbalanced="0">
      <fieldsUsage count="2">
        <fieldUsage x="-1"/>
        <fieldUsage x="3"/>
      </fieldsUsage>
    </cacheHierarchy>
    <cacheHierarchy uniqueName="[sales_orders].[order_date (Quarter)]" caption="order_date (Quarter)" attribute="1" defaultMemberUniqueName="[sales_orders].[order_date (Quarter)].[All]" allUniqueName="[sales_orders].[order_date (Quarter)].[All]" dimensionUniqueName="[sales_orders]" displayFolder="" count="0" memberValueDatatype="130" unbalanced="0"/>
    <cacheHierarchy uniqueName="[sales_orders].[order_date (Month)]" caption="order_date (Month)" attribute="1" defaultMemberUniqueName="[sales_orders].[order_date (Month)].[All]" allUniqueName="[sales_orders].[order_date (Month)].[All]" dimensionUniqueName="[sales_orders]" displayFolder="" count="0" memberValueDatatype="130" unbalanced="0"/>
    <cacheHierarchy uniqueName="[sales_orders].[order_date (Month Index)]" caption="order_date (Month Index)" attribute="1" defaultMemberUniqueName="[sales_orders].[order_date (Month Index)].[All]" allUniqueName="[sales_orders].[order_date (Month Index)].[All]" dimensionUniqueName="[sales_orders]" displayFolder="" count="0" memberValueDatatype="20" unbalanced="0" hidden="1"/>
    <cacheHierarchy uniqueName="[Measures].[Sum of total_sales 2]" caption="Sum of total_sales 2" measure="1" displayFolder="" measureGroup="order_analysis" count="0">
      <extLst>
        <ext xmlns:x15="http://schemas.microsoft.com/office/spreadsheetml/2010/11/main" uri="{B97F6D7D-B522-45F9-BDA1-12C45D357490}">
          <x15:cacheHierarchy aggregatedColumn="9"/>
        </ext>
      </extLst>
    </cacheHierarchy>
    <cacheHierarchy uniqueName="[Measures].[Sum of num_products]" caption="Sum of num_products" measure="1" displayFolder="" measureGroup="order_analysis"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normalized_sales_orders" count="0">
      <extLst>
        <ext xmlns:x15="http://schemas.microsoft.com/office/spreadsheetml/2010/11/main" uri="{B97F6D7D-B522-45F9-BDA1-12C45D357490}">
          <x15:cacheHierarchy aggregatedColumn="4"/>
        </ext>
      </extLst>
    </cacheHierarchy>
    <cacheHierarchy uniqueName="[Measures].[Count of fulfillment]" caption="Count of fulfillment" measure="1" displayFolder="" measureGroup="sales_orders" count="0">
      <extLst>
        <ext xmlns:x15="http://schemas.microsoft.com/office/spreadsheetml/2010/11/main" uri="{B97F6D7D-B522-45F9-BDA1-12C45D357490}">
          <x15:cacheHierarchy aggregatedColumn="13"/>
        </ext>
      </extLst>
    </cacheHierarchy>
    <cacheHierarchy uniqueName="[Measures].[Total Orders]" caption="Total Orders" measure="1" displayFolder="" measureGroup="normalized_sales_orders" count="0" oneField="1">
      <fieldsUsage count="1">
        <fieldUsage x="0"/>
      </fieldsUsage>
    </cacheHierarchy>
    <cacheHierarchy uniqueName="[Measures].[Total Sales]" caption="Total Sales" measure="1" displayFolder="" measureGroup="normalized_sales_orders" count="0"/>
    <cacheHierarchy uniqueName="[Measures].[Average Order Value]" caption="Average Order Value" measure="1" displayFolder="" measureGroup="normalized_sales_orders" count="0"/>
    <cacheHierarchy uniqueName="[Measures].[__XL_Count normalized_sales_orders]" caption="__XL_Count normalized_sales_orders" measure="1" displayFolder="" measureGroup="normalized_sales_orders" count="0" hidden="1"/>
    <cacheHierarchy uniqueName="[Measures].[__XL_Count order_analysis]" caption="__XL_Count order_analysis" measure="1" displayFolder="" measureGroup="order_analysi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dimensions count="4">
    <dimension measure="1" name="Measures" uniqueName="[Measures]" caption="Measures"/>
    <dimension name="normalized_sales_orders" uniqueName="[normalized_sales_orders]" caption="normalized_sales_orders"/>
    <dimension name="order_analysis" uniqueName="[order_analysis]" caption="order_analysis"/>
    <dimension name="sales_orders" uniqueName="[sales_orders]" caption="sales_orders"/>
  </dimensions>
  <measureGroups count="3">
    <measureGroup name="normalized_sales_orders" caption="normalized_sales_orders"/>
    <measureGroup name="order_analysis" caption="order_analysis"/>
    <measureGroup name="sales_orders" caption="sales_ord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opher Barnett" refreshedDate="46137.760166898152" createdVersion="5" refreshedVersion="8" minRefreshableVersion="3" recordCount="0" supportSubquery="1" supportAdvancedDrill="1" xr:uid="{D7E3DBDA-FA47-4503-8FB9-5FB40B8576B7}">
  <cacheSource type="external" connectionId="4"/>
  <cacheFields count="4">
    <cacheField name="[normalized_sales_orders].[fulfillment].[fulfillment]" caption="fulfillment" numFmtId="0" hierarchy="1" level="1">
      <sharedItems count="2">
        <s v="In store"/>
        <s v="Online"/>
      </sharedItems>
    </cacheField>
    <cacheField name="[Measures].[Total Sales]" caption="Total Sales" numFmtId="0" hierarchy="23" level="32767"/>
    <cacheField name="[sales_orders].[order_date].[order_date]" caption="order_date" numFmtId="0" hierarchy="11" level="1">
      <sharedItems containsSemiMixedTypes="0" containsNonDate="0" containsString="0"/>
    </cacheField>
    <cacheField name="[sales_orders].[order_date (Year)].[order_date (Year)]" caption="order_date (Year)" numFmtId="0" hierarchy="14" level="1">
      <sharedItems containsSemiMixedTypes="0" containsNonDate="0" containsString="0"/>
    </cacheField>
  </cacheFields>
  <cacheHierarchies count="29">
    <cacheHierarchy uniqueName="[normalized_sales_orders].[order_number]" caption="order_number" attribute="1" defaultMemberUniqueName="[normalized_sales_orders].[order_number].[All]" allUniqueName="[normalized_sales_orders].[order_number].[All]" dimensionUniqueName="[normalized_sales_orders]" displayFolder="" count="0" memberValueDatatype="20" unbalanced="0"/>
    <cacheHierarchy uniqueName="[normalized_sales_orders].[fulfillment]" caption="fulfillment" attribute="1" defaultMemberUniqueName="[normalized_sales_orders].[fulfillment].[All]" allUniqueName="[normalized_sales_orders].[fulfillment].[All]" dimensionUniqueName="[normalized_sales_orders]" displayFolder="" count="2" memberValueDatatype="130" unbalanced="0">
      <fieldsUsage count="2">
        <fieldUsage x="-1"/>
        <fieldUsage x="0"/>
      </fieldsUsage>
    </cacheHierarchy>
    <cacheHierarchy uniqueName="[normalized_sales_orders].[product_name]" caption="product_name" attribute="1" defaultMemberUniqueName="[normalized_sales_orders].[product_name].[All]" allUniqueName="[normalized_sales_orders].[product_name].[All]" dimensionUniqueName="[normalized_sales_orders]" displayFolder="" count="0" memberValueDatatype="130" unbalanced="0"/>
    <cacheHierarchy uniqueName="[normalized_sales_orders].[product_price]" caption="product_price" attribute="1" defaultMemberUniqueName="[normalized_sales_orders].[product_price].[All]" allUniqueName="[normalized_sales_orders].[product_price].[All]" dimensionUniqueName="[normalized_sales_orders]" displayFolder="" count="0" memberValueDatatype="5" unbalanced="0"/>
    <cacheHierarchy uniqueName="[normalized_sales_orders].[quantity]" caption="quantity" attribute="1" defaultMemberUniqueName="[normalized_sales_orders].[quantity].[All]" allUniqueName="[normalized_sales_orders].[quantity].[All]" dimensionUniqueName="[normalized_sales_orders]" displayFolder="" count="0" memberValueDatatype="20" unbalanced="0"/>
    <cacheHierarchy uniqueName="[order_analysis].[order_number]" caption="order_number" attribute="1" defaultMemberUniqueName="[order_analysis].[order_number].[All]" allUniqueName="[order_analysis].[order_number].[All]" dimensionUniqueName="[order_analysis]" displayFolder="" count="0" memberValueDatatype="20" unbalanced="0"/>
    <cacheHierarchy uniqueName="[order_analysis].[fulfillment]" caption="fulfillment" attribute="1" defaultMemberUniqueName="[order_analysis].[fulfillment].[All]" allUniqueName="[order_analysis].[fulfillment].[All]" dimensionUniqueName="[order_analysis]" displayFolder="" count="0" memberValueDatatype="130" unbalanced="0"/>
    <cacheHierarchy uniqueName="[order_analysis].[num_products_bin]" caption="num_products_bin" attribute="1" defaultMemberUniqueName="[order_analysis].[num_products_bin].[All]" allUniqueName="[order_analysis].[num_products_bin].[All]" dimensionUniqueName="[order_analysis]" displayFolder="" count="0" memberValueDatatype="130" unbalanced="0"/>
    <cacheHierarchy uniqueName="[order_analysis].[num_products]" caption="num_products" attribute="1" defaultMemberUniqueName="[order_analysis].[num_products].[All]" allUniqueName="[order_analysis].[num_products].[All]" dimensionUniqueName="[order_analysis]" displayFolder="" count="0" memberValueDatatype="20" unbalanced="0"/>
    <cacheHierarchy uniqueName="[order_analysis].[total_sales]" caption="total_sales" attribute="1" defaultMemberUniqueName="[order_analysis].[total_sales].[All]" allUniqueName="[order_analysis].[total_sales].[All]" dimensionUniqueName="[order_analysis]" displayFolder="" count="0" memberValueDatatype="5" unbalanced="0"/>
    <cacheHierarchy uniqueName="[sales_orders].[order_number]" caption="order_number" attribute="1" defaultMemberUniqueName="[sales_orders].[order_number].[All]" allUniqueName="[sales_orders].[order_number].[All]" dimensionUniqueName="[sales_orders]" displayFolder="" count="0" memberValueDatatype="20" unbalanced="0"/>
    <cacheHierarchy uniqueName="[sales_orders].[order_date]" caption="order_date" attribute="1" time="1" defaultMemberUniqueName="[sales_orders].[order_date].[All]" allUniqueName="[sales_orders].[order_date].[All]" dimensionUniqueName="[sales_orders]" displayFolder="" count="2" memberValueDatatype="7" unbalanced="0">
      <fieldsUsage count="2">
        <fieldUsage x="-1"/>
        <fieldUsage x="2"/>
      </fieldsUsage>
    </cacheHierarchy>
    <cacheHierarchy uniqueName="[sales_orders].[line_items]" caption="line_items" attribute="1" defaultMemberUniqueName="[sales_orders].[line_items].[All]" allUniqueName="[sales_orders].[line_items].[All]" dimensionUniqueName="[sales_orders]" displayFolder="" count="0" memberValueDatatype="130" unbalanced="0"/>
    <cacheHierarchy uniqueName="[sales_orders].[fulfillment]" caption="fulfillment" attribute="1" defaultMemberUniqueName="[sales_orders].[fulfillment].[All]" allUniqueName="[sales_orders].[fulfillment].[All]" dimensionUniqueName="[sales_orders]" displayFolder="" count="2" memberValueDatatype="130" unbalanced="0"/>
    <cacheHierarchy uniqueName="[sales_orders].[order_date (Year)]" caption="order_date (Year)" attribute="1" defaultMemberUniqueName="[sales_orders].[order_date (Year)].[All]" allUniqueName="[sales_orders].[order_date (Year)].[All]" dimensionUniqueName="[sales_orders]" displayFolder="" count="2" memberValueDatatype="130" unbalanced="0">
      <fieldsUsage count="2">
        <fieldUsage x="-1"/>
        <fieldUsage x="3"/>
      </fieldsUsage>
    </cacheHierarchy>
    <cacheHierarchy uniqueName="[sales_orders].[order_date (Quarter)]" caption="order_date (Quarter)" attribute="1" defaultMemberUniqueName="[sales_orders].[order_date (Quarter)].[All]" allUniqueName="[sales_orders].[order_date (Quarter)].[All]" dimensionUniqueName="[sales_orders]" displayFolder="" count="0" memberValueDatatype="130" unbalanced="0"/>
    <cacheHierarchy uniqueName="[sales_orders].[order_date (Month)]" caption="order_date (Month)" attribute="1" defaultMemberUniqueName="[sales_orders].[order_date (Month)].[All]" allUniqueName="[sales_orders].[order_date (Month)].[All]" dimensionUniqueName="[sales_orders]" displayFolder="" count="0" memberValueDatatype="130" unbalanced="0"/>
    <cacheHierarchy uniqueName="[sales_orders].[order_date (Month Index)]" caption="order_date (Month Index)" attribute="1" defaultMemberUniqueName="[sales_orders].[order_date (Month Index)].[All]" allUniqueName="[sales_orders].[order_date (Month Index)].[All]" dimensionUniqueName="[sales_orders]" displayFolder="" count="0" memberValueDatatype="20" unbalanced="0" hidden="1"/>
    <cacheHierarchy uniqueName="[Measures].[Sum of total_sales 2]" caption="Sum of total_sales 2" measure="1" displayFolder="" measureGroup="order_analysis" count="0">
      <extLst>
        <ext xmlns:x15="http://schemas.microsoft.com/office/spreadsheetml/2010/11/main" uri="{B97F6D7D-B522-45F9-BDA1-12C45D357490}">
          <x15:cacheHierarchy aggregatedColumn="9"/>
        </ext>
      </extLst>
    </cacheHierarchy>
    <cacheHierarchy uniqueName="[Measures].[Sum of num_products]" caption="Sum of num_products" measure="1" displayFolder="" measureGroup="order_analysis"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normalized_sales_orders" count="0">
      <extLst>
        <ext xmlns:x15="http://schemas.microsoft.com/office/spreadsheetml/2010/11/main" uri="{B97F6D7D-B522-45F9-BDA1-12C45D357490}">
          <x15:cacheHierarchy aggregatedColumn="4"/>
        </ext>
      </extLst>
    </cacheHierarchy>
    <cacheHierarchy uniqueName="[Measures].[Count of fulfillment]" caption="Count of fulfillment" measure="1" displayFolder="" measureGroup="sales_orders" count="0">
      <extLst>
        <ext xmlns:x15="http://schemas.microsoft.com/office/spreadsheetml/2010/11/main" uri="{B97F6D7D-B522-45F9-BDA1-12C45D357490}">
          <x15:cacheHierarchy aggregatedColumn="13"/>
        </ext>
      </extLst>
    </cacheHierarchy>
    <cacheHierarchy uniqueName="[Measures].[Total Orders]" caption="Total Orders" measure="1" displayFolder="" measureGroup="normalized_sales_orders" count="0"/>
    <cacheHierarchy uniqueName="[Measures].[Total Sales]" caption="Total Sales" measure="1" displayFolder="" measureGroup="normalized_sales_orders" count="0" oneField="1">
      <fieldsUsage count="1">
        <fieldUsage x="1"/>
      </fieldsUsage>
    </cacheHierarchy>
    <cacheHierarchy uniqueName="[Measures].[Average Order Value]" caption="Average Order Value" measure="1" displayFolder="" measureGroup="normalized_sales_orders" count="0"/>
    <cacheHierarchy uniqueName="[Measures].[__XL_Count normalized_sales_orders]" caption="__XL_Count normalized_sales_orders" measure="1" displayFolder="" measureGroup="normalized_sales_orders" count="0" hidden="1"/>
    <cacheHierarchy uniqueName="[Measures].[__XL_Count order_analysis]" caption="__XL_Count order_analysis" measure="1" displayFolder="" measureGroup="order_analysi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dimensions count="4">
    <dimension measure="1" name="Measures" uniqueName="[Measures]" caption="Measures"/>
    <dimension name="normalized_sales_orders" uniqueName="[normalized_sales_orders]" caption="normalized_sales_orders"/>
    <dimension name="order_analysis" uniqueName="[order_analysis]" caption="order_analysis"/>
    <dimension name="sales_orders" uniqueName="[sales_orders]" caption="sales_orders"/>
  </dimensions>
  <measureGroups count="3">
    <measureGroup name="normalized_sales_orders" caption="normalized_sales_orders"/>
    <measureGroup name="order_analysis" caption="order_analysis"/>
    <measureGroup name="sales_orders" caption="sales_ord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opher Barnett" refreshedDate="46137.760167245367" createdVersion="5" refreshedVersion="8" minRefreshableVersion="3" recordCount="0" supportSubquery="1" supportAdvancedDrill="1" xr:uid="{CCBEC363-1E91-4C97-B8ED-40229108D76E}">
  <cacheSource type="external" connectionId="4"/>
  <cacheFields count="5">
    <cacheField name="[Measures].[Total Sales]" caption="Total Sales" numFmtId="0" hierarchy="23" level="32767"/>
    <cacheField name="[sales_orders].[order_date].[order_date]" caption="order_date" numFmtId="0" hierarchy="11" level="1">
      <sharedItems containsSemiMixedTypes="0" containsNonDate="0" containsString="0"/>
    </cacheField>
    <cacheField name="[order_analysis].[num_products_bin].[num_products_bin]" caption="num_products_bin" numFmtId="0" hierarchy="7" level="1">
      <sharedItems count="4">
        <s v="1.) 1-2"/>
        <s v="2.) 3-4"/>
        <s v="3.) 5-6"/>
        <s v="4.) 7-8"/>
      </sharedItems>
    </cacheField>
    <cacheField name="[Measures].[Sum of quantity]" caption="Sum of quantity" numFmtId="0" hierarchy="20" level="32767"/>
    <cacheField name="[sales_orders].[order_date (Year)].[order_date (Year)]" caption="order_date (Year)" numFmtId="0" hierarchy="14" level="1">
      <sharedItems containsSemiMixedTypes="0" containsNonDate="0" containsString="0"/>
    </cacheField>
  </cacheFields>
  <cacheHierarchies count="29">
    <cacheHierarchy uniqueName="[normalized_sales_orders].[order_number]" caption="order_number" attribute="1" defaultMemberUniqueName="[normalized_sales_orders].[order_number].[All]" allUniqueName="[normalized_sales_orders].[order_number].[All]" dimensionUniqueName="[normalized_sales_orders]" displayFolder="" count="0" memberValueDatatype="20" unbalanced="0"/>
    <cacheHierarchy uniqueName="[normalized_sales_orders].[fulfillment]" caption="fulfillment" attribute="1" defaultMemberUniqueName="[normalized_sales_orders].[fulfillment].[All]" allUniqueName="[normalized_sales_orders].[fulfillment].[All]" dimensionUniqueName="[normalized_sales_orders]" displayFolder="" count="0" memberValueDatatype="130" unbalanced="0"/>
    <cacheHierarchy uniqueName="[normalized_sales_orders].[product_name]" caption="product_name" attribute="1" defaultMemberUniqueName="[normalized_sales_orders].[product_name].[All]" allUniqueName="[normalized_sales_orders].[product_name].[All]" dimensionUniqueName="[normalized_sales_orders]" displayFolder="" count="0" memberValueDatatype="130" unbalanced="0"/>
    <cacheHierarchy uniqueName="[normalized_sales_orders].[product_price]" caption="product_price" attribute="1" defaultMemberUniqueName="[normalized_sales_orders].[product_price].[All]" allUniqueName="[normalized_sales_orders].[product_price].[All]" dimensionUniqueName="[normalized_sales_orders]" displayFolder="" count="0" memberValueDatatype="5" unbalanced="0"/>
    <cacheHierarchy uniqueName="[normalized_sales_orders].[quantity]" caption="quantity" attribute="1" defaultMemberUniqueName="[normalized_sales_orders].[quantity].[All]" allUniqueName="[normalized_sales_orders].[quantity].[All]" dimensionUniqueName="[normalized_sales_orders]" displayFolder="" count="0" memberValueDatatype="20" unbalanced="0"/>
    <cacheHierarchy uniqueName="[order_analysis].[order_number]" caption="order_number" attribute="1" defaultMemberUniqueName="[order_analysis].[order_number].[All]" allUniqueName="[order_analysis].[order_number].[All]" dimensionUniqueName="[order_analysis]" displayFolder="" count="0" memberValueDatatype="20" unbalanced="0"/>
    <cacheHierarchy uniqueName="[order_analysis].[fulfillment]" caption="fulfillment" attribute="1" defaultMemberUniqueName="[order_analysis].[fulfillment].[All]" allUniqueName="[order_analysis].[fulfillment].[All]" dimensionUniqueName="[order_analysis]" displayFolder="" count="0" memberValueDatatype="130" unbalanced="0"/>
    <cacheHierarchy uniqueName="[order_analysis].[num_products_bin]" caption="num_products_bin" attribute="1" defaultMemberUniqueName="[order_analysis].[num_products_bin].[All]" allUniqueName="[order_analysis].[num_products_bin].[All]" dimensionUniqueName="[order_analysis]" displayFolder="" count="2" memberValueDatatype="130" unbalanced="0">
      <fieldsUsage count="2">
        <fieldUsage x="-1"/>
        <fieldUsage x="2"/>
      </fieldsUsage>
    </cacheHierarchy>
    <cacheHierarchy uniqueName="[order_analysis].[num_products]" caption="num_products" attribute="1" defaultMemberUniqueName="[order_analysis].[num_products].[All]" allUniqueName="[order_analysis].[num_products].[All]" dimensionUniqueName="[order_analysis]" displayFolder="" count="0" memberValueDatatype="20" unbalanced="0"/>
    <cacheHierarchy uniqueName="[order_analysis].[total_sales]" caption="total_sales" attribute="1" defaultMemberUniqueName="[order_analysis].[total_sales].[All]" allUniqueName="[order_analysis].[total_sales].[All]" dimensionUniqueName="[order_analysis]" displayFolder="" count="0" memberValueDatatype="5" unbalanced="0"/>
    <cacheHierarchy uniqueName="[sales_orders].[order_number]" caption="order_number" attribute="1" defaultMemberUniqueName="[sales_orders].[order_number].[All]" allUniqueName="[sales_orders].[order_number].[All]" dimensionUniqueName="[sales_orders]" displayFolder="" count="0" memberValueDatatype="20" unbalanced="0"/>
    <cacheHierarchy uniqueName="[sales_orders].[order_date]" caption="order_date" attribute="1" time="1" defaultMemberUniqueName="[sales_orders].[order_date].[All]" allUniqueName="[sales_orders].[order_date].[All]" dimensionUniqueName="[sales_orders]" displayFolder="" count="2" memberValueDatatype="7" unbalanced="0">
      <fieldsUsage count="2">
        <fieldUsage x="-1"/>
        <fieldUsage x="1"/>
      </fieldsUsage>
    </cacheHierarchy>
    <cacheHierarchy uniqueName="[sales_orders].[line_items]" caption="line_items" attribute="1" defaultMemberUniqueName="[sales_orders].[line_items].[All]" allUniqueName="[sales_orders].[line_items].[All]" dimensionUniqueName="[sales_orders]" displayFolder="" count="0" memberValueDatatype="130" unbalanced="0"/>
    <cacheHierarchy uniqueName="[sales_orders].[fulfillment]" caption="fulfillment" attribute="1" defaultMemberUniqueName="[sales_orders].[fulfillment].[All]" allUniqueName="[sales_orders].[fulfillment].[All]" dimensionUniqueName="[sales_orders]" displayFolder="" count="2" memberValueDatatype="130" unbalanced="0"/>
    <cacheHierarchy uniqueName="[sales_orders].[order_date (Year)]" caption="order_date (Year)" attribute="1" defaultMemberUniqueName="[sales_orders].[order_date (Year)].[All]" allUniqueName="[sales_orders].[order_date (Year)].[All]" dimensionUniqueName="[sales_orders]" displayFolder="" count="2" memberValueDatatype="130" unbalanced="0">
      <fieldsUsage count="2">
        <fieldUsage x="-1"/>
        <fieldUsage x="4"/>
      </fieldsUsage>
    </cacheHierarchy>
    <cacheHierarchy uniqueName="[sales_orders].[order_date (Quarter)]" caption="order_date (Quarter)" attribute="1" defaultMemberUniqueName="[sales_orders].[order_date (Quarter)].[All]" allUniqueName="[sales_orders].[order_date (Quarter)].[All]" dimensionUniqueName="[sales_orders]" displayFolder="" count="0" memberValueDatatype="130" unbalanced="0"/>
    <cacheHierarchy uniqueName="[sales_orders].[order_date (Month)]" caption="order_date (Month)" attribute="1" defaultMemberUniqueName="[sales_orders].[order_date (Month)].[All]" allUniqueName="[sales_orders].[order_date (Month)].[All]" dimensionUniqueName="[sales_orders]" displayFolder="" count="0" memberValueDatatype="130" unbalanced="0"/>
    <cacheHierarchy uniqueName="[sales_orders].[order_date (Month Index)]" caption="order_date (Month Index)" attribute="1" defaultMemberUniqueName="[sales_orders].[order_date (Month Index)].[All]" allUniqueName="[sales_orders].[order_date (Month Index)].[All]" dimensionUniqueName="[sales_orders]" displayFolder="" count="0" memberValueDatatype="20" unbalanced="0" hidden="1"/>
    <cacheHierarchy uniqueName="[Measures].[Sum of total_sales 2]" caption="Sum of total_sales 2" measure="1" displayFolder="" measureGroup="order_analysis" count="0">
      <extLst>
        <ext xmlns:x15="http://schemas.microsoft.com/office/spreadsheetml/2010/11/main" uri="{B97F6D7D-B522-45F9-BDA1-12C45D357490}">
          <x15:cacheHierarchy aggregatedColumn="9"/>
        </ext>
      </extLst>
    </cacheHierarchy>
    <cacheHierarchy uniqueName="[Measures].[Sum of num_products]" caption="Sum of num_products" measure="1" displayFolder="" measureGroup="order_analysis"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normalized_sales_orders" count="0" oneField="1">
      <fieldsUsage count="1">
        <fieldUsage x="3"/>
      </fieldsUsage>
      <extLst>
        <ext xmlns:x15="http://schemas.microsoft.com/office/spreadsheetml/2010/11/main" uri="{B97F6D7D-B522-45F9-BDA1-12C45D357490}">
          <x15:cacheHierarchy aggregatedColumn="4"/>
        </ext>
      </extLst>
    </cacheHierarchy>
    <cacheHierarchy uniqueName="[Measures].[Count of fulfillment]" caption="Count of fulfillment" measure="1" displayFolder="" measureGroup="sales_orders" count="0">
      <extLst>
        <ext xmlns:x15="http://schemas.microsoft.com/office/spreadsheetml/2010/11/main" uri="{B97F6D7D-B522-45F9-BDA1-12C45D357490}">
          <x15:cacheHierarchy aggregatedColumn="13"/>
        </ext>
      </extLst>
    </cacheHierarchy>
    <cacheHierarchy uniqueName="[Measures].[Total Orders]" caption="Total Orders" measure="1" displayFolder="" measureGroup="normalized_sales_orders" count="0"/>
    <cacheHierarchy uniqueName="[Measures].[Total Sales]" caption="Total Sales" measure="1" displayFolder="" measureGroup="normalized_sales_orders" count="0" oneField="1">
      <fieldsUsage count="1">
        <fieldUsage x="0"/>
      </fieldsUsage>
    </cacheHierarchy>
    <cacheHierarchy uniqueName="[Measures].[Average Order Value]" caption="Average Order Value" measure="1" displayFolder="" measureGroup="normalized_sales_orders" count="0"/>
    <cacheHierarchy uniqueName="[Measures].[__XL_Count normalized_sales_orders]" caption="__XL_Count normalized_sales_orders" measure="1" displayFolder="" measureGroup="normalized_sales_orders" count="0" hidden="1"/>
    <cacheHierarchy uniqueName="[Measures].[__XL_Count order_analysis]" caption="__XL_Count order_analysis" measure="1" displayFolder="" measureGroup="order_analysi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dimensions count="4">
    <dimension measure="1" name="Measures" uniqueName="[Measures]" caption="Measures"/>
    <dimension name="normalized_sales_orders" uniqueName="[normalized_sales_orders]" caption="normalized_sales_orders"/>
    <dimension name="order_analysis" uniqueName="[order_analysis]" caption="order_analysis"/>
    <dimension name="sales_orders" uniqueName="[sales_orders]" caption="sales_orders"/>
  </dimensions>
  <measureGroups count="3">
    <measureGroup name="normalized_sales_orders" caption="normalized_sales_orders"/>
    <measureGroup name="order_analysis" caption="order_analysis"/>
    <measureGroup name="sales_orders" caption="sales_ord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opher Barnett" refreshedDate="46137.760167592591" createdVersion="5" refreshedVersion="8" minRefreshableVersion="3" recordCount="0" supportSubquery="1" supportAdvancedDrill="1" xr:uid="{8F74F924-F086-49F2-9729-C959D077875A}">
  <cacheSource type="external" connectionId="4"/>
  <cacheFields count="3">
    <cacheField name="[sales_orders].[order_date (Month)].[order_date (Month)]" caption="order_date (Month)" numFmtId="0" hierarchy="16" level="1">
      <sharedItems count="12">
        <s v="Jan"/>
        <s v="Feb"/>
        <s v="Mar"/>
        <s v="Apr"/>
        <s v="May"/>
        <s v="Jun"/>
        <s v="Jul"/>
        <s v="Aug"/>
        <s v="Sep"/>
        <s v="Oct"/>
        <s v="Nov"/>
        <s v="Dec"/>
      </sharedItems>
    </cacheField>
    <cacheField name="[Measures].[Total Sales]" caption="Total Sales" numFmtId="0" hierarchy="23" level="32767"/>
    <cacheField name="[sales_orders].[order_date (Year)].[order_date (Year)]" caption="order_date (Year)" numFmtId="0" hierarchy="14" level="1">
      <sharedItems containsSemiMixedTypes="0" containsNonDate="0" containsString="0"/>
    </cacheField>
  </cacheFields>
  <cacheHierarchies count="29">
    <cacheHierarchy uniqueName="[normalized_sales_orders].[order_number]" caption="order_number" attribute="1" defaultMemberUniqueName="[normalized_sales_orders].[order_number].[All]" allUniqueName="[normalized_sales_orders].[order_number].[All]" dimensionUniqueName="[normalized_sales_orders]" displayFolder="" count="0" memberValueDatatype="20" unbalanced="0"/>
    <cacheHierarchy uniqueName="[normalized_sales_orders].[fulfillment]" caption="fulfillment" attribute="1" defaultMemberUniqueName="[normalized_sales_orders].[fulfillment].[All]" allUniqueName="[normalized_sales_orders].[fulfillment].[All]" dimensionUniqueName="[normalized_sales_orders]" displayFolder="" count="0" memberValueDatatype="130" unbalanced="0"/>
    <cacheHierarchy uniqueName="[normalized_sales_orders].[product_name]" caption="product_name" attribute="1" defaultMemberUniqueName="[normalized_sales_orders].[product_name].[All]" allUniqueName="[normalized_sales_orders].[product_name].[All]" dimensionUniqueName="[normalized_sales_orders]" displayFolder="" count="0" memberValueDatatype="130" unbalanced="0"/>
    <cacheHierarchy uniqueName="[normalized_sales_orders].[product_price]" caption="product_price" attribute="1" defaultMemberUniqueName="[normalized_sales_orders].[product_price].[All]" allUniqueName="[normalized_sales_orders].[product_price].[All]" dimensionUniqueName="[normalized_sales_orders]" displayFolder="" count="0" memberValueDatatype="5" unbalanced="0"/>
    <cacheHierarchy uniqueName="[normalized_sales_orders].[quantity]" caption="quantity" attribute="1" defaultMemberUniqueName="[normalized_sales_orders].[quantity].[All]" allUniqueName="[normalized_sales_orders].[quantity].[All]" dimensionUniqueName="[normalized_sales_orders]" displayFolder="" count="0" memberValueDatatype="20" unbalanced="0"/>
    <cacheHierarchy uniqueName="[order_analysis].[order_number]" caption="order_number" attribute="1" defaultMemberUniqueName="[order_analysis].[order_number].[All]" allUniqueName="[order_analysis].[order_number].[All]" dimensionUniqueName="[order_analysis]" displayFolder="" count="0" memberValueDatatype="20" unbalanced="0"/>
    <cacheHierarchy uniqueName="[order_analysis].[fulfillment]" caption="fulfillment" attribute="1" defaultMemberUniqueName="[order_analysis].[fulfillment].[All]" allUniqueName="[order_analysis].[fulfillment].[All]" dimensionUniqueName="[order_analysis]" displayFolder="" count="0" memberValueDatatype="130" unbalanced="0"/>
    <cacheHierarchy uniqueName="[order_analysis].[num_products_bin]" caption="num_products_bin" attribute="1" defaultMemberUniqueName="[order_analysis].[num_products_bin].[All]" allUniqueName="[order_analysis].[num_products_bin].[All]" dimensionUniqueName="[order_analysis]" displayFolder="" count="0" memberValueDatatype="130" unbalanced="0"/>
    <cacheHierarchy uniqueName="[order_analysis].[num_products]" caption="num_products" attribute="1" defaultMemberUniqueName="[order_analysis].[num_products].[All]" allUniqueName="[order_analysis].[num_products].[All]" dimensionUniqueName="[order_analysis]" displayFolder="" count="0" memberValueDatatype="20" unbalanced="0"/>
    <cacheHierarchy uniqueName="[order_analysis].[total_sales]" caption="total_sales" attribute="1" defaultMemberUniqueName="[order_analysis].[total_sales].[All]" allUniqueName="[order_analysis].[total_sales].[All]" dimensionUniqueName="[order_analysis]" displayFolder="" count="0" memberValueDatatype="5" unbalanced="0"/>
    <cacheHierarchy uniqueName="[sales_orders].[order_number]" caption="order_number" attribute="1" defaultMemberUniqueName="[sales_orders].[order_number].[All]" allUniqueName="[sales_orders].[order_number].[All]" dimensionUniqueName="[sales_orders]" displayFolder="" count="0" memberValueDatatype="20" unbalanced="0"/>
    <cacheHierarchy uniqueName="[sales_orders].[order_date]" caption="order_date" attribute="1" time="1" defaultMemberUniqueName="[sales_orders].[order_date].[All]" allUniqueName="[sales_orders].[order_date].[All]" dimensionUniqueName="[sales_orders]" displayFolder="" count="2" memberValueDatatype="7" unbalanced="0"/>
    <cacheHierarchy uniqueName="[sales_orders].[line_items]" caption="line_items" attribute="1" defaultMemberUniqueName="[sales_orders].[line_items].[All]" allUniqueName="[sales_orders].[line_items].[All]" dimensionUniqueName="[sales_orders]" displayFolder="" count="0" memberValueDatatype="130" unbalanced="0"/>
    <cacheHierarchy uniqueName="[sales_orders].[fulfillment]" caption="fulfillment" attribute="1" defaultMemberUniqueName="[sales_orders].[fulfillment].[All]" allUniqueName="[sales_orders].[fulfillment].[All]" dimensionUniqueName="[sales_orders]" displayFolder="" count="2" memberValueDatatype="130" unbalanced="0"/>
    <cacheHierarchy uniqueName="[sales_orders].[order_date (Year)]" caption="order_date (Year)" attribute="1" defaultMemberUniqueName="[sales_orders].[order_date (Year)].[All]" allUniqueName="[sales_orders].[order_date (Year)].[All]" dimensionUniqueName="[sales_orders]" displayFolder="" count="2" memberValueDatatype="130" unbalanced="0">
      <fieldsUsage count="2">
        <fieldUsage x="-1"/>
        <fieldUsage x="2"/>
      </fieldsUsage>
    </cacheHierarchy>
    <cacheHierarchy uniqueName="[sales_orders].[order_date (Quarter)]" caption="order_date (Quarter)" attribute="1" defaultMemberUniqueName="[sales_orders].[order_date (Quarter)].[All]" allUniqueName="[sales_orders].[order_date (Quarter)].[All]" dimensionUniqueName="[sales_orders]" displayFolder="" count="2" memberValueDatatype="130" unbalanced="0"/>
    <cacheHierarchy uniqueName="[sales_orders].[order_date (Month)]" caption="order_date (Month)" attribute="1" defaultMemberUniqueName="[sales_orders].[order_date (Month)].[All]" allUniqueName="[sales_orders].[order_date (Month)].[All]" dimensionUniqueName="[sales_orders]" displayFolder="" count="2" memberValueDatatype="130" unbalanced="0">
      <fieldsUsage count="2">
        <fieldUsage x="-1"/>
        <fieldUsage x="0"/>
      </fieldsUsage>
    </cacheHierarchy>
    <cacheHierarchy uniqueName="[sales_orders].[order_date (Month Index)]" caption="order_date (Month Index)" attribute="1" defaultMemberUniqueName="[sales_orders].[order_date (Month Index)].[All]" allUniqueName="[sales_orders].[order_date (Month Index)].[All]" dimensionUniqueName="[sales_orders]" displayFolder="" count="0" memberValueDatatype="20" unbalanced="0" hidden="1"/>
    <cacheHierarchy uniqueName="[Measures].[Sum of total_sales 2]" caption="Sum of total_sales 2" measure="1" displayFolder="" measureGroup="order_analysis" count="0">
      <extLst>
        <ext xmlns:x15="http://schemas.microsoft.com/office/spreadsheetml/2010/11/main" uri="{B97F6D7D-B522-45F9-BDA1-12C45D357490}">
          <x15:cacheHierarchy aggregatedColumn="9"/>
        </ext>
      </extLst>
    </cacheHierarchy>
    <cacheHierarchy uniqueName="[Measures].[Sum of num_products]" caption="Sum of num_products" measure="1" displayFolder="" measureGroup="order_analysis"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normalized_sales_orders" count="0">
      <extLst>
        <ext xmlns:x15="http://schemas.microsoft.com/office/spreadsheetml/2010/11/main" uri="{B97F6D7D-B522-45F9-BDA1-12C45D357490}">
          <x15:cacheHierarchy aggregatedColumn="4"/>
        </ext>
      </extLst>
    </cacheHierarchy>
    <cacheHierarchy uniqueName="[Measures].[Count of fulfillment]" caption="Count of fulfillment" measure="1" displayFolder="" measureGroup="sales_orders" count="0">
      <extLst>
        <ext xmlns:x15="http://schemas.microsoft.com/office/spreadsheetml/2010/11/main" uri="{B97F6D7D-B522-45F9-BDA1-12C45D357490}">
          <x15:cacheHierarchy aggregatedColumn="13"/>
        </ext>
      </extLst>
    </cacheHierarchy>
    <cacheHierarchy uniqueName="[Measures].[Total Orders]" caption="Total Orders" measure="1" displayFolder="" measureGroup="normalized_sales_orders" count="0"/>
    <cacheHierarchy uniqueName="[Measures].[Total Sales]" caption="Total Sales" measure="1" displayFolder="" measureGroup="normalized_sales_orders" count="0" oneField="1">
      <fieldsUsage count="1">
        <fieldUsage x="1"/>
      </fieldsUsage>
    </cacheHierarchy>
    <cacheHierarchy uniqueName="[Measures].[Average Order Value]" caption="Average Order Value" measure="1" displayFolder="" measureGroup="normalized_sales_orders" count="0"/>
    <cacheHierarchy uniqueName="[Measures].[__XL_Count normalized_sales_orders]" caption="__XL_Count normalized_sales_orders" measure="1" displayFolder="" measureGroup="normalized_sales_orders" count="0" hidden="1"/>
    <cacheHierarchy uniqueName="[Measures].[__XL_Count order_analysis]" caption="__XL_Count order_analysis" measure="1" displayFolder="" measureGroup="order_analysi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dimensions count="4">
    <dimension measure="1" name="Measures" uniqueName="[Measures]" caption="Measures"/>
    <dimension name="normalized_sales_orders" uniqueName="[normalized_sales_orders]" caption="normalized_sales_orders"/>
    <dimension name="order_analysis" uniqueName="[order_analysis]" caption="order_analysis"/>
    <dimension name="sales_orders" uniqueName="[sales_orders]" caption="sales_orders"/>
  </dimensions>
  <measureGroups count="3">
    <measureGroup name="normalized_sales_orders" caption="normalized_sales_orders"/>
    <measureGroup name="order_analysis" caption="order_analysis"/>
    <measureGroup name="sales_orders" caption="sales_ord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opher Barnett" refreshedDate="46137.421221412034" createdVersion="3" refreshedVersion="8" minRefreshableVersion="3" recordCount="0" supportSubquery="1" supportAdvancedDrill="1" xr:uid="{25BE8882-C792-4BFD-ACE3-1B0CEB285A8E}">
  <cacheSource type="external" connectionId="4">
    <extLst>
      <ext xmlns:x14="http://schemas.microsoft.com/office/spreadsheetml/2009/9/main" uri="{F057638F-6D5F-4e77-A914-E7F072B9BCA8}">
        <x14:sourceConnection name="ThisWorkbookDataModel"/>
      </ext>
    </extLst>
  </cacheSource>
  <cacheFields count="0"/>
  <cacheHierarchies count="29">
    <cacheHierarchy uniqueName="[normalized_sales_orders].[order_number]" caption="order_number" attribute="1" defaultMemberUniqueName="[normalized_sales_orders].[order_number].[All]" allUniqueName="[normalized_sales_orders].[order_number].[All]" dimensionUniqueName="[normalized_sales_orders]" displayFolder="" count="0" memberValueDatatype="20" unbalanced="0"/>
    <cacheHierarchy uniqueName="[normalized_sales_orders].[fulfillment]" caption="fulfillment" attribute="1" defaultMemberUniqueName="[normalized_sales_orders].[fulfillment].[All]" allUniqueName="[normalized_sales_orders].[fulfillment].[All]" dimensionUniqueName="[normalized_sales_orders]" displayFolder="" count="0" memberValueDatatype="130" unbalanced="0"/>
    <cacheHierarchy uniqueName="[normalized_sales_orders].[product_name]" caption="product_name" attribute="1" defaultMemberUniqueName="[normalized_sales_orders].[product_name].[All]" allUniqueName="[normalized_sales_orders].[product_name].[All]" dimensionUniqueName="[normalized_sales_orders]" displayFolder="" count="0" memberValueDatatype="130" unbalanced="0"/>
    <cacheHierarchy uniqueName="[normalized_sales_orders].[product_price]" caption="product_price" attribute="1" defaultMemberUniqueName="[normalized_sales_orders].[product_price].[All]" allUniqueName="[normalized_sales_orders].[product_price].[All]" dimensionUniqueName="[normalized_sales_orders]" displayFolder="" count="0" memberValueDatatype="5" unbalanced="0"/>
    <cacheHierarchy uniqueName="[normalized_sales_orders].[quantity]" caption="quantity" attribute="1" defaultMemberUniqueName="[normalized_sales_orders].[quantity].[All]" allUniqueName="[normalized_sales_orders].[quantity].[All]" dimensionUniqueName="[normalized_sales_orders]" displayFolder="" count="0" memberValueDatatype="20" unbalanced="0"/>
    <cacheHierarchy uniqueName="[order_analysis].[order_number]" caption="order_number" attribute="1" defaultMemberUniqueName="[order_analysis].[order_number].[All]" allUniqueName="[order_analysis].[order_number].[All]" dimensionUniqueName="[order_analysis]" displayFolder="" count="0" memberValueDatatype="20" unbalanced="0"/>
    <cacheHierarchy uniqueName="[order_analysis].[fulfillment]" caption="fulfillment" attribute="1" defaultMemberUniqueName="[order_analysis].[fulfillment].[All]" allUniqueName="[order_analysis].[fulfillment].[All]" dimensionUniqueName="[order_analysis]" displayFolder="" count="0" memberValueDatatype="130" unbalanced="0"/>
    <cacheHierarchy uniqueName="[order_analysis].[num_products_bin]" caption="num_products_bin" attribute="1" defaultMemberUniqueName="[order_analysis].[num_products_bin].[All]" allUniqueName="[order_analysis].[num_products_bin].[All]" dimensionUniqueName="[order_analysis]" displayFolder="" count="0" memberValueDatatype="130" unbalanced="0"/>
    <cacheHierarchy uniqueName="[order_analysis].[num_products]" caption="num_products" attribute="1" defaultMemberUniqueName="[order_analysis].[num_products].[All]" allUniqueName="[order_analysis].[num_products].[All]" dimensionUniqueName="[order_analysis]" displayFolder="" count="0" memberValueDatatype="20" unbalanced="0"/>
    <cacheHierarchy uniqueName="[order_analysis].[total_sales]" caption="total_sales" attribute="1" defaultMemberUniqueName="[order_analysis].[total_sales].[All]" allUniqueName="[order_analysis].[total_sales].[All]" dimensionUniqueName="[order_analysis]" displayFolder="" count="0" memberValueDatatype="5" unbalanced="0"/>
    <cacheHierarchy uniqueName="[sales_orders].[order_number]" caption="order_number" attribute="1" defaultMemberUniqueName="[sales_orders].[order_number].[All]" allUniqueName="[sales_orders].[order_number].[All]" dimensionUniqueName="[sales_orders]" displayFolder="" count="0" memberValueDatatype="20" unbalanced="0"/>
    <cacheHierarchy uniqueName="[sales_orders].[order_date]" caption="order_date" attribute="1" time="1" defaultMemberUniqueName="[sales_orders].[order_date].[All]" allUniqueName="[sales_orders].[order_date].[All]" dimensionUniqueName="[sales_orders]" displayFolder="" count="0" memberValueDatatype="7" unbalanced="0"/>
    <cacheHierarchy uniqueName="[sales_orders].[line_items]" caption="line_items" attribute="1" defaultMemberUniqueName="[sales_orders].[line_items].[All]" allUniqueName="[sales_orders].[line_items].[All]" dimensionUniqueName="[sales_orders]" displayFolder="" count="0" memberValueDatatype="130" unbalanced="0"/>
    <cacheHierarchy uniqueName="[sales_orders].[fulfillment]" caption="fulfillment" attribute="1" defaultMemberUniqueName="[sales_orders].[fulfillment].[All]" allUniqueName="[sales_orders].[fulfillment].[All]" dimensionUniqueName="[sales_orders]" displayFolder="" count="2" memberValueDatatype="130" unbalanced="0"/>
    <cacheHierarchy uniqueName="[sales_orders].[order_date (Year)]" caption="order_date (Year)" attribute="1" defaultMemberUniqueName="[sales_orders].[order_date (Year)].[All]" allUniqueName="[sales_orders].[order_date (Year)].[All]" dimensionUniqueName="[sales_orders]" displayFolder="" count="0" memberValueDatatype="130" unbalanced="0"/>
    <cacheHierarchy uniqueName="[sales_orders].[order_date (Quarter)]" caption="order_date (Quarter)" attribute="1" defaultMemberUniqueName="[sales_orders].[order_date (Quarter)].[All]" allUniqueName="[sales_orders].[order_date (Quarter)].[All]" dimensionUniqueName="[sales_orders]" displayFolder="" count="0" memberValueDatatype="130" unbalanced="0"/>
    <cacheHierarchy uniqueName="[sales_orders].[order_date (Month)]" caption="order_date (Month)" attribute="1" defaultMemberUniqueName="[sales_orders].[order_date (Month)].[All]" allUniqueName="[sales_orders].[order_date (Month)].[All]" dimensionUniqueName="[sales_orders]" displayFolder="" count="0" memberValueDatatype="130" unbalanced="0"/>
    <cacheHierarchy uniqueName="[sales_orders].[order_date (Month Index)]" caption="order_date (Month Index)" attribute="1" defaultMemberUniqueName="[sales_orders].[order_date (Month Index)].[All]" allUniqueName="[sales_orders].[order_date (Month Index)].[All]" dimensionUniqueName="[sales_orders]" displayFolder="" count="0" memberValueDatatype="20" unbalanced="0" hidden="1"/>
    <cacheHierarchy uniqueName="[Measures].[Sum of total_sales 2]" caption="Sum of total_sales 2" measure="1" displayFolder="" measureGroup="order_analysis" count="0">
      <extLst>
        <ext xmlns:x15="http://schemas.microsoft.com/office/spreadsheetml/2010/11/main" uri="{B97F6D7D-B522-45F9-BDA1-12C45D357490}">
          <x15:cacheHierarchy aggregatedColumn="9"/>
        </ext>
      </extLst>
    </cacheHierarchy>
    <cacheHierarchy uniqueName="[Measures].[Sum of num_products]" caption="Sum of num_products" measure="1" displayFolder="" measureGroup="order_analysis"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normalized_sales_orders" count="0">
      <extLst>
        <ext xmlns:x15="http://schemas.microsoft.com/office/spreadsheetml/2010/11/main" uri="{B97F6D7D-B522-45F9-BDA1-12C45D357490}">
          <x15:cacheHierarchy aggregatedColumn="4"/>
        </ext>
      </extLst>
    </cacheHierarchy>
    <cacheHierarchy uniqueName="[Measures].[Count of fulfillment]" caption="Count of fulfillment" measure="1" displayFolder="" measureGroup="sales_orders" count="0">
      <extLst>
        <ext xmlns:x15="http://schemas.microsoft.com/office/spreadsheetml/2010/11/main" uri="{B97F6D7D-B522-45F9-BDA1-12C45D357490}">
          <x15:cacheHierarchy aggregatedColumn="13"/>
        </ext>
      </extLst>
    </cacheHierarchy>
    <cacheHierarchy uniqueName="[Measures].[Total Orders]" caption="Total Orders" measure="1" displayFolder="" measureGroup="normalized_sales_orders" count="0"/>
    <cacheHierarchy uniqueName="[Measures].[Total Sales]" caption="Total Sales" measure="1" displayFolder="" measureGroup="normalized_sales_orders" count="0"/>
    <cacheHierarchy uniqueName="[Measures].[Average Order Value]" caption="Average Order Value" measure="1" displayFolder="" measureGroup="normalized_sales_orders" count="0"/>
    <cacheHierarchy uniqueName="[Measures].[__XL_Count normalized_sales_orders]" caption="__XL_Count normalized_sales_orders" measure="1" displayFolder="" measureGroup="normalized_sales_orders" count="0" hidden="1"/>
    <cacheHierarchy uniqueName="[Measures].[__XL_Count order_analysis]" caption="__XL_Count order_analysis" measure="1" displayFolder="" measureGroup="order_analysi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002242"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opher Barnett" refreshedDate="46137.431752314813" createdVersion="3" refreshedVersion="8" minRefreshableVersion="3" recordCount="0" supportSubquery="1" supportAdvancedDrill="1" xr:uid="{D9158CCC-46F4-4F0B-B72D-41C5F8B90CEB}">
  <cacheSource type="external" connectionId="4">
    <extLst>
      <ext xmlns:x14="http://schemas.microsoft.com/office/spreadsheetml/2009/9/main" uri="{F057638F-6D5F-4e77-A914-E7F072B9BCA8}">
        <x14:sourceConnection name="ThisWorkbookDataModel"/>
      </ext>
    </extLst>
  </cacheSource>
  <cacheFields count="0"/>
  <cacheHierarchies count="29">
    <cacheHierarchy uniqueName="[normalized_sales_orders].[order_number]" caption="order_number" attribute="1" defaultMemberUniqueName="[normalized_sales_orders].[order_number].[All]" allUniqueName="[normalized_sales_orders].[order_number].[All]" dimensionUniqueName="[normalized_sales_orders]" displayFolder="" count="0" memberValueDatatype="20" unbalanced="0"/>
    <cacheHierarchy uniqueName="[normalized_sales_orders].[fulfillment]" caption="fulfillment" attribute="1" defaultMemberUniqueName="[normalized_sales_orders].[fulfillment].[All]" allUniqueName="[normalized_sales_orders].[fulfillment].[All]" dimensionUniqueName="[normalized_sales_orders]" displayFolder="" count="0" memberValueDatatype="130" unbalanced="0"/>
    <cacheHierarchy uniqueName="[normalized_sales_orders].[product_name]" caption="product_name" attribute="1" defaultMemberUniqueName="[normalized_sales_orders].[product_name].[All]" allUniqueName="[normalized_sales_orders].[product_name].[All]" dimensionUniqueName="[normalized_sales_orders]" displayFolder="" count="0" memberValueDatatype="130" unbalanced="0"/>
    <cacheHierarchy uniqueName="[normalized_sales_orders].[product_price]" caption="product_price" attribute="1" defaultMemberUniqueName="[normalized_sales_orders].[product_price].[All]" allUniqueName="[normalized_sales_orders].[product_price].[All]" dimensionUniqueName="[normalized_sales_orders]" displayFolder="" count="0" memberValueDatatype="5" unbalanced="0"/>
    <cacheHierarchy uniqueName="[normalized_sales_orders].[quantity]" caption="quantity" attribute="1" defaultMemberUniqueName="[normalized_sales_orders].[quantity].[All]" allUniqueName="[normalized_sales_orders].[quantity].[All]" dimensionUniqueName="[normalized_sales_orders]" displayFolder="" count="0" memberValueDatatype="20" unbalanced="0"/>
    <cacheHierarchy uniqueName="[order_analysis].[order_number]" caption="order_number" attribute="1" defaultMemberUniqueName="[order_analysis].[order_number].[All]" allUniqueName="[order_analysis].[order_number].[All]" dimensionUniqueName="[order_analysis]" displayFolder="" count="0" memberValueDatatype="20" unbalanced="0"/>
    <cacheHierarchy uniqueName="[order_analysis].[fulfillment]" caption="fulfillment" attribute="1" defaultMemberUniqueName="[order_analysis].[fulfillment].[All]" allUniqueName="[order_analysis].[fulfillment].[All]" dimensionUniqueName="[order_analysis]" displayFolder="" count="0" memberValueDatatype="130" unbalanced="0"/>
    <cacheHierarchy uniqueName="[order_analysis].[num_products_bin]" caption="num_products_bin" attribute="1" defaultMemberUniqueName="[order_analysis].[num_products_bin].[All]" allUniqueName="[order_analysis].[num_products_bin].[All]" dimensionUniqueName="[order_analysis]" displayFolder="" count="0" memberValueDatatype="130" unbalanced="0"/>
    <cacheHierarchy uniqueName="[order_analysis].[num_products]" caption="num_products" attribute="1" defaultMemberUniqueName="[order_analysis].[num_products].[All]" allUniqueName="[order_analysis].[num_products].[All]" dimensionUniqueName="[order_analysis]" displayFolder="" count="0" memberValueDatatype="20" unbalanced="0"/>
    <cacheHierarchy uniqueName="[order_analysis].[total_sales]" caption="total_sales" attribute="1" defaultMemberUniqueName="[order_analysis].[total_sales].[All]" allUniqueName="[order_analysis].[total_sales].[All]" dimensionUniqueName="[order_analysis]" displayFolder="" count="0" memberValueDatatype="5" unbalanced="0"/>
    <cacheHierarchy uniqueName="[sales_orders].[order_number]" caption="order_number" attribute="1" defaultMemberUniqueName="[sales_orders].[order_number].[All]" allUniqueName="[sales_orders].[order_number].[All]" dimensionUniqueName="[sales_orders]" displayFolder="" count="0" memberValueDatatype="20" unbalanced="0"/>
    <cacheHierarchy uniqueName="[sales_orders].[order_date]" caption="order_date" attribute="1" time="1" defaultMemberUniqueName="[sales_orders].[order_date].[All]" allUniqueName="[sales_orders].[order_date].[All]" dimensionUniqueName="[sales_orders]" displayFolder="" count="0" memberValueDatatype="7" unbalanced="0"/>
    <cacheHierarchy uniqueName="[sales_orders].[line_items]" caption="line_items" attribute="1" defaultMemberUniqueName="[sales_orders].[line_items].[All]" allUniqueName="[sales_orders].[line_items].[All]" dimensionUniqueName="[sales_orders]" displayFolder="" count="0" memberValueDatatype="130" unbalanced="0"/>
    <cacheHierarchy uniqueName="[sales_orders].[fulfillment]" caption="fulfillment" attribute="1" defaultMemberUniqueName="[sales_orders].[fulfillment].[All]" allUniqueName="[sales_orders].[fulfillment].[All]" dimensionUniqueName="[sales_orders]" displayFolder="" count="0" memberValueDatatype="130" unbalanced="0"/>
    <cacheHierarchy uniqueName="[sales_orders].[order_date (Year)]" caption="order_date (Year)" attribute="1" defaultMemberUniqueName="[sales_orders].[order_date (Year)].[All]" allUniqueName="[sales_orders].[order_date (Year)].[All]" dimensionUniqueName="[sales_orders]" displayFolder="" count="2" memberValueDatatype="130" unbalanced="0"/>
    <cacheHierarchy uniqueName="[sales_orders].[order_date (Quarter)]" caption="order_date (Quarter)" attribute="1" defaultMemberUniqueName="[sales_orders].[order_date (Quarter)].[All]" allUniqueName="[sales_orders].[order_date (Quarter)].[All]" dimensionUniqueName="[sales_orders]" displayFolder="" count="0" memberValueDatatype="130" unbalanced="0"/>
    <cacheHierarchy uniqueName="[sales_orders].[order_date (Month)]" caption="order_date (Month)" attribute="1" defaultMemberUniqueName="[sales_orders].[order_date (Month)].[All]" allUniqueName="[sales_orders].[order_date (Month)].[All]" dimensionUniqueName="[sales_orders]" displayFolder="" count="0" memberValueDatatype="130" unbalanced="0"/>
    <cacheHierarchy uniqueName="[sales_orders].[order_date (Month Index)]" caption="order_date (Month Index)" attribute="1" defaultMemberUniqueName="[sales_orders].[order_date (Month Index)].[All]" allUniqueName="[sales_orders].[order_date (Month Index)].[All]" dimensionUniqueName="[sales_orders]" displayFolder="" count="0" memberValueDatatype="20" unbalanced="0" hidden="1"/>
    <cacheHierarchy uniqueName="[Measures].[Sum of total_sales 2]" caption="Sum of total_sales 2" measure="1" displayFolder="" measureGroup="order_analysis" count="0">
      <extLst>
        <ext xmlns:x15="http://schemas.microsoft.com/office/spreadsheetml/2010/11/main" uri="{B97F6D7D-B522-45F9-BDA1-12C45D357490}">
          <x15:cacheHierarchy aggregatedColumn="9"/>
        </ext>
      </extLst>
    </cacheHierarchy>
    <cacheHierarchy uniqueName="[Measures].[Sum of num_products]" caption="Sum of num_products" measure="1" displayFolder="" measureGroup="order_analysis"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normalized_sales_orders" count="0">
      <extLst>
        <ext xmlns:x15="http://schemas.microsoft.com/office/spreadsheetml/2010/11/main" uri="{B97F6D7D-B522-45F9-BDA1-12C45D357490}">
          <x15:cacheHierarchy aggregatedColumn="4"/>
        </ext>
      </extLst>
    </cacheHierarchy>
    <cacheHierarchy uniqueName="[Measures].[Count of fulfillment]" caption="Count of fulfillment" measure="1" displayFolder="" measureGroup="sales_orders" count="0">
      <extLst>
        <ext xmlns:x15="http://schemas.microsoft.com/office/spreadsheetml/2010/11/main" uri="{B97F6D7D-B522-45F9-BDA1-12C45D357490}">
          <x15:cacheHierarchy aggregatedColumn="13"/>
        </ext>
      </extLst>
    </cacheHierarchy>
    <cacheHierarchy uniqueName="[Measures].[Total Orders]" caption="Total Orders" measure="1" displayFolder="" measureGroup="normalized_sales_orders" count="0"/>
    <cacheHierarchy uniqueName="[Measures].[Total Sales]" caption="Total Sales" measure="1" displayFolder="" measureGroup="normalized_sales_orders" count="0"/>
    <cacheHierarchy uniqueName="[Measures].[Average Order Value]" caption="Average Order Value" measure="1" displayFolder="" measureGroup="normalized_sales_orders" count="0"/>
    <cacheHierarchy uniqueName="[Measures].[__XL_Count normalized_sales_orders]" caption="__XL_Count normalized_sales_orders" measure="1" displayFolder="" measureGroup="normalized_sales_orders" count="0" hidden="1"/>
    <cacheHierarchy uniqueName="[Measures].[__XL_Count order_analysis]" caption="__XL_Count order_analysis" measure="1" displayFolder="" measureGroup="order_analysi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560143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4B761F-4C3D-49E1-A7C8-372EF985D455}" name="FulfillmentsTotalOrdersPie" cacheId="0" applyNumberFormats="0" applyBorderFormats="0" applyFontFormats="0" applyPatternFormats="0" applyAlignmentFormats="0" applyWidthHeightFormats="1" dataCaption="Values" tag="8a3255eb-ad8f-496c-9df7-0b287b67201d" updatedVersion="8" minRefreshableVersion="5" subtotalHiddenItems="1" rowGrandTotals="0" colGrandTotals="0" itemPrintTitles="1" createdVersion="5" indent="0" compact="0" compactData="0" multipleFieldFilters="0" chartFormat="8">
  <location ref="D5:E7" firstHeaderRow="1" firstDataRow="1" firstDataCol="1"/>
  <pivotFields count="3">
    <pivotField dataField="1" compact="0" outline="0" subtotalTop="0" showAll="0"/>
    <pivotField compact="0" allDrilled="1" outline="0" subtotalTop="0" showAll="0" dataSourceSort="1" defaultAttributeDrillState="1">
      <items count="1">
        <item t="default"/>
      </items>
    </pivotField>
    <pivotField axis="axisRow" compact="0" allDrilled="1" outline="0" subtotalTop="0" showAll="0" dataSourceSort="1" defaultAttributeDrillState="1">
      <items count="3">
        <item x="0"/>
        <item x="1"/>
        <item t="default"/>
      </items>
    </pivotField>
  </pivotFields>
  <rowFields count="1">
    <field x="2"/>
  </rowFields>
  <rowItems count="2">
    <i>
      <x/>
    </i>
    <i>
      <x v="1"/>
    </i>
  </rowItems>
  <colItems count="1">
    <i/>
  </colItems>
  <dataFields count="1">
    <dataField fld="0" subtotal="count" baseField="0" baseItem="0"/>
  </dataFields>
  <chartFormats count="7">
    <chartFormat chart="0" format="13" series="1">
      <pivotArea type="data" outline="0" fieldPosition="0">
        <references count="1">
          <reference field="4294967294" count="1" selected="0">
            <x v="0"/>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2" count="1" selected="0">
            <x v="0"/>
          </reference>
        </references>
      </pivotArea>
    </chartFormat>
    <chartFormat chart="4" format="24">
      <pivotArea type="data" outline="0" fieldPosition="0">
        <references count="2">
          <reference field="4294967294" count="1" selected="0">
            <x v="0"/>
          </reference>
          <reference field="2" count="1" selected="0">
            <x v="1"/>
          </reference>
        </references>
      </pivotArea>
    </chartFormat>
    <chartFormat chart="7" format="31" series="1">
      <pivotArea type="data" outline="0" fieldPosition="0">
        <references count="1">
          <reference field="4294967294" count="1" selected="0">
            <x v="0"/>
          </reference>
        </references>
      </pivotArea>
    </chartFormat>
    <chartFormat chart="7" format="32">
      <pivotArea type="data" outline="0" fieldPosition="0">
        <references count="2">
          <reference field="4294967294" count="1" selected="0">
            <x v="0"/>
          </reference>
          <reference field="2" count="1" selected="0">
            <x v="0"/>
          </reference>
        </references>
      </pivotArea>
    </chartFormat>
    <chartFormat chart="7" format="33">
      <pivotArea type="data" outline="0" fieldPosition="0">
        <references count="2">
          <reference field="4294967294" count="1" selected="0">
            <x v="0"/>
          </reference>
          <reference field="2"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12" name="[sales_orders].[order_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ormalized_sales_orders]"/>
        <x15:activeTabTopLevelEntity name="[sales_orders]"/>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7C681E-03DC-404F-A483-E0B2CA6E2B27}" name="FulfillmentsAOVPie" cacheId="1" applyNumberFormats="0" applyBorderFormats="0" applyFontFormats="0" applyPatternFormats="0" applyAlignmentFormats="0" applyWidthHeightFormats="1" dataCaption="Values" tag="a21d6b06-9a22-4b63-a7ab-af048062f19b" updatedVersion="8" minRefreshableVersion="5" subtotalHiddenItems="1" rowGrandTotals="0" colGrandTotals="0" itemPrintTitles="1" createdVersion="5" indent="0" compact="0" compactData="0" multipleFieldFilters="0" chartFormat="9">
  <location ref="D9:E11" firstHeaderRow="1" firstDataRow="1" firstDataCol="1"/>
  <pivotFields count="3">
    <pivotField dataField="1" compact="0" outline="0" subtotalTop="0" showAll="0"/>
    <pivotField compact="0" allDrilled="1" outline="0" subtotalTop="0" showAll="0" dataSourceSort="1" defaultAttributeDrillState="1">
      <items count="1">
        <item t="default"/>
      </items>
    </pivotField>
    <pivotField axis="axisRow" compact="0" allDrilled="1" outline="0" subtotalTop="0" showAll="0" dataSourceSort="1" defaultAttributeDrillState="1">
      <items count="3">
        <item x="0"/>
        <item x="1"/>
        <item t="default"/>
      </items>
    </pivotField>
  </pivotFields>
  <rowFields count="1">
    <field x="2"/>
  </rowFields>
  <rowItems count="2">
    <i>
      <x/>
    </i>
    <i>
      <x v="1"/>
    </i>
  </rowItems>
  <colItems count="1">
    <i/>
  </colItems>
  <dataFields count="1">
    <dataField fld="0" subtotal="count" baseField="0" baseItem="0"/>
  </dataFields>
  <chartFormats count="9">
    <chartFormat chart="0" format="13" series="1">
      <pivotArea type="data" outline="0" fieldPosition="0">
        <references count="1">
          <reference field="4294967294" count="1" selected="0">
            <x v="0"/>
          </reference>
        </references>
      </pivotArea>
    </chartFormat>
    <chartFormat chart="1" format="16" series="1">
      <pivotArea type="data" outline="0" fieldPosition="0">
        <references count="1">
          <reference field="4294967294" count="1" selected="0">
            <x v="0"/>
          </reference>
        </references>
      </pivotArea>
    </chartFormat>
    <chartFormat chart="2" format="19" series="1">
      <pivotArea type="data" outline="0" fieldPosition="0">
        <references count="1">
          <reference field="4294967294" count="1" selected="0">
            <x v="0"/>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2" count="1" selected="0">
            <x v="0"/>
          </reference>
        </references>
      </pivotArea>
    </chartFormat>
    <chartFormat chart="5" format="24">
      <pivotArea type="data" outline="0" fieldPosition="0">
        <references count="2">
          <reference field="4294967294" count="1" selected="0">
            <x v="0"/>
          </reference>
          <reference field="2" count="1" selected="0">
            <x v="1"/>
          </reference>
        </references>
      </pivotArea>
    </chartFormat>
    <chartFormat chart="8" format="28" series="1">
      <pivotArea type="data" outline="0" fieldPosition="0">
        <references count="1">
          <reference field="4294967294" count="1" selected="0">
            <x v="0"/>
          </reference>
        </references>
      </pivotArea>
    </chartFormat>
    <chartFormat chart="8" format="29">
      <pivotArea type="data" outline="0" fieldPosition="0">
        <references count="2">
          <reference field="4294967294" count="1" selected="0">
            <x v="0"/>
          </reference>
          <reference field="2" count="1" selected="0">
            <x v="0"/>
          </reference>
        </references>
      </pivotArea>
    </chartFormat>
    <chartFormat chart="8" format="30">
      <pivotArea type="data" outline="0" fieldPosition="0">
        <references count="2">
          <reference field="4294967294" count="1" selected="0">
            <x v="0"/>
          </reference>
          <reference field="2"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12" name="[sales_orders].[order_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ormalized_sales_orders]"/>
        <x15:activeTabTopLevelEntity name="[sales_orders]"/>
      </x15:pivotTableUISettings>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B054F1-E95E-4E2E-B1D5-E18292C5FB30}" name="FulfillmentsAOV" cacheId="52" applyNumberFormats="0" applyBorderFormats="0" applyFontFormats="0" applyPatternFormats="0" applyAlignmentFormats="0" applyWidthHeightFormats="1" dataCaption="Values" tag="f2077aa4-09d3-4239-9ed0-2f1f33a7850d" updatedVersion="8" minRefreshableVersion="5" subtotalHiddenItems="1" rowGrandTotals="0" colGrandTotals="0" itemPrintTitles="1" createdVersion="5" indent="0" compact="0" compactData="0" multipleFieldFilters="0" chartFormat="5">
  <location ref="A9:B11" firstHeaderRow="1" firstDataRow="1" firstDataCol="1"/>
  <pivotFields count="4">
    <pivotField dataField="1" compact="0" outline="0" subtotalTop="0" showAll="0"/>
    <pivotField compact="0" allDrilled="1" outline="0" subtotalTop="0" showAll="0" dataSourceSort="1" defaultAttributeDrillState="1">
      <items count="1">
        <item t="default"/>
      </items>
    </pivotField>
    <pivotField axis="axisRow" compact="0" allDrilled="1" outline="0" subtotalTop="0" showAll="0" dataSourceSort="1" defaultAttributeDrillState="1">
      <items count="3">
        <item x="0"/>
        <item x="1"/>
        <item t="default"/>
      </items>
    </pivotField>
    <pivotField compact="0" allDrilled="1" outline="0" subtotalTop="0" showAll="0" dataSourceSort="1" defaultAttributeDrillState="1"/>
  </pivotFields>
  <rowFields count="1">
    <field x="2"/>
  </rowFields>
  <rowItems count="2">
    <i>
      <x/>
    </i>
    <i>
      <x v="1"/>
    </i>
  </rowItems>
  <colItems count="1">
    <i/>
  </colItems>
  <dataFields count="1">
    <dataField fld="0" subtotal="count" baseField="0" baseItem="0"/>
  </dataFields>
  <chartFormats count="3">
    <chartFormat chart="0" format="13" series="1">
      <pivotArea type="data" outline="0" fieldPosition="0">
        <references count="1">
          <reference field="4294967294" count="1" selected="0">
            <x v="0"/>
          </reference>
        </references>
      </pivotArea>
    </chartFormat>
    <chartFormat chart="1" format="16" series="1">
      <pivotArea type="data" outline="0" fieldPosition="0">
        <references count="1">
          <reference field="4294967294" count="1" selected="0">
            <x v="0"/>
          </reference>
        </references>
      </pivotArea>
    </chartFormat>
    <chartFormat chart="2" format="19"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12" name="[sales_orders].[order_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ormalized_sales_orders]"/>
        <x15:activeTabTopLevelEntity name="[sales_orders]"/>
      </x15:pivotTableUISettings>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CEE6F3-2003-4415-94D5-1C025CBAF709}" name="FulfillmentsTotalOrders" cacheId="55" applyNumberFormats="0" applyBorderFormats="0" applyFontFormats="0" applyPatternFormats="0" applyAlignmentFormats="0" applyWidthHeightFormats="1" dataCaption="Values" tag="172fe885-d0fd-4b99-993d-40808ba42a58" updatedVersion="8" minRefreshableVersion="5" subtotalHiddenItems="1" rowGrandTotals="0" colGrandTotals="0" itemPrintTitles="1" createdVersion="5" indent="0" compact="0" compactData="0" multipleFieldFilters="0" chartFormat="4">
  <location ref="A5:B7" firstHeaderRow="1" firstDataRow="1" firstDataCol="1"/>
  <pivotFields count="4">
    <pivotField dataField="1" compact="0" outline="0" subtotalTop="0" showAll="0"/>
    <pivotField compact="0" allDrilled="1" outline="0" subtotalTop="0" showAll="0" dataSourceSort="1" defaultAttributeDrillState="1">
      <items count="1">
        <item t="default"/>
      </items>
    </pivotField>
    <pivotField axis="axisRow" compact="0" allDrilled="1" outline="0" subtotalTop="0" showAll="0" dataSourceSort="1" defaultAttributeDrillState="1">
      <items count="3">
        <item x="0"/>
        <item x="1"/>
        <item t="default"/>
      </items>
    </pivotField>
    <pivotField compact="0" allDrilled="1" outline="0" subtotalTop="0" showAll="0" dataSourceSort="1" defaultAttributeDrillState="1"/>
  </pivotFields>
  <rowFields count="1">
    <field x="2"/>
  </rowFields>
  <rowItems count="2">
    <i>
      <x/>
    </i>
    <i>
      <x v="1"/>
    </i>
  </rowItems>
  <colItems count="1">
    <i/>
  </colItems>
  <dataFields count="1">
    <dataField fld="0" subtotal="count" baseField="0" baseItem="0"/>
  </dataFields>
  <chartFormats count="1">
    <chartFormat chart="0" format="13"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12" name="[sales_orders].[order_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ormalized_sales_orders]"/>
        <x15:activeTabTopLevelEntity name="[sales_orders]"/>
      </x15:pivotTableUISettings>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F319B4-E40E-45B2-BB06-91EBE8A7DE0C}" name="FulfillmentsTotalSalesPie" cacheId="2" applyNumberFormats="0" applyBorderFormats="0" applyFontFormats="0" applyPatternFormats="0" applyAlignmentFormats="0" applyWidthHeightFormats="1" dataCaption="Values" tag="59e38a36-b29f-43f0-aeb4-75ab612b1ce9" updatedVersion="8" minRefreshableVersion="5" subtotalHiddenItems="1" rowGrandTotals="0" colGrandTotals="0" itemPrintTitles="1" createdVersion="5" indent="0" compact="0" compactData="0" multipleFieldFilters="0" chartFormat="8">
  <location ref="D1:E3" firstHeaderRow="1" firstDataRow="1" firstDataCol="1"/>
  <pivotFields count="3">
    <pivotField axis="axisRow" compact="0" allDrilled="1" outline="0" subtotalTop="0" showAll="0" dataSourceSort="1" defaultAttributeDrillState="1">
      <items count="3">
        <item x="0"/>
        <item x="1"/>
        <item t="default"/>
      </items>
    </pivotField>
    <pivotField dataField="1" compact="0" outline="0" subtotalTop="0" showAll="0"/>
    <pivotField compact="0" allDrilled="1" outline="0" subtotalTop="0" showAll="0" dataSourceSort="1" defaultAttributeDrillState="1">
      <items count="1">
        <item t="default"/>
      </items>
    </pivotField>
  </pivotFields>
  <rowFields count="1">
    <field x="0"/>
  </rowFields>
  <rowItems count="2">
    <i>
      <x/>
    </i>
    <i>
      <x v="1"/>
    </i>
  </rowItems>
  <colItems count="1">
    <i/>
  </colItems>
  <dataFields count="1">
    <dataField fld="1" subtotal="count" baseField="0" baseItem="0"/>
  </dataFields>
  <chartFormats count="12">
    <chartFormat chart="0" format="13" series="1">
      <pivotArea type="data" outline="0" fieldPosition="0">
        <references count="1">
          <reference field="4294967294" count="1" selected="0">
            <x v="0"/>
          </reference>
        </references>
      </pivotArea>
    </chartFormat>
    <chartFormat chart="0" format="14">
      <pivotArea type="data" outline="0" fieldPosition="0">
        <references count="2">
          <reference field="4294967294" count="1" selected="0">
            <x v="0"/>
          </reference>
          <reference field="0" count="1" selected="0">
            <x v="0"/>
          </reference>
        </references>
      </pivotArea>
    </chartFormat>
    <chartFormat chart="0" format="15">
      <pivotArea type="data" outline="0" fieldPosition="0">
        <references count="2">
          <reference field="4294967294" count="1" selected="0">
            <x v="0"/>
          </reference>
          <reference field="0" count="1" selected="0">
            <x v="1"/>
          </reference>
        </references>
      </pivotArea>
    </chartFormat>
    <chartFormat chart="3" format="19" series="1">
      <pivotArea type="data" outline="0" fieldPosition="0">
        <references count="1">
          <reference field="4294967294" count="1" selected="0">
            <x v="0"/>
          </reference>
        </references>
      </pivotArea>
    </chartFormat>
    <chartFormat chart="3" format="20">
      <pivotArea type="data" outline="0" fieldPosition="0">
        <references count="2">
          <reference field="4294967294" count="1" selected="0">
            <x v="0"/>
          </reference>
          <reference field="0" count="1" selected="0">
            <x v="0"/>
          </reference>
        </references>
      </pivotArea>
    </chartFormat>
    <chartFormat chart="3" format="21">
      <pivotArea type="data" outline="0" fieldPosition="0">
        <references count="2">
          <reference field="4294967294" count="1" selected="0">
            <x v="0"/>
          </reference>
          <reference field="0" count="1" selected="0">
            <x v="1"/>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0" count="1" selected="0">
            <x v="0"/>
          </reference>
        </references>
      </pivotArea>
    </chartFormat>
    <chartFormat chart="4" format="15">
      <pivotArea type="data" outline="0" fieldPosition="0">
        <references count="2">
          <reference field="4294967294" count="1" selected="0">
            <x v="0"/>
          </reference>
          <reference field="0" count="1" selected="0">
            <x v="1"/>
          </reference>
        </references>
      </pivotArea>
    </chartFormat>
    <chartFormat chart="7" format="19" series="1">
      <pivotArea type="data" outline="0" fieldPosition="0">
        <references count="1">
          <reference field="4294967294" count="1" selected="0">
            <x v="0"/>
          </reference>
        </references>
      </pivotArea>
    </chartFormat>
    <chartFormat chart="7" format="20">
      <pivotArea type="data" outline="0" fieldPosition="0">
        <references count="2">
          <reference field="4294967294" count="1" selected="0">
            <x v="0"/>
          </reference>
          <reference field="0" count="1" selected="0">
            <x v="0"/>
          </reference>
        </references>
      </pivotArea>
    </chartFormat>
    <chartFormat chart="7" format="21">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12" name="[sales_orders].[order_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ormalized_sales_orders]"/>
      </x15:pivotTableUISettings>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93867C-18D4-44CE-8192-29F8BE182790}" name="MoMSalesAnalysis" cacheId="64" applyNumberFormats="0" applyBorderFormats="0" applyFontFormats="0" applyPatternFormats="0" applyAlignmentFormats="0" applyWidthHeightFormats="1" dataCaption="Values" tag="d1295c1d-d4dd-40d3-b088-252ef9eb13b1" updatedVersion="8" minRefreshableVersion="3" rowGrandTotals="0" colGrandTotals="0" itemPrintTitles="1" createdVersion="5" indent="0" compact="0" compactData="0" multipleFieldFilters="0">
  <location ref="A26:B38" firstHeaderRow="1" firstDataRow="1" firstDataCol="1"/>
  <pivotFields count="3">
    <pivotField name="order_month" axis="axisRow" compact="0" allDrilled="1" outline="0" subtotalTop="0" showAll="0" dataSourceSort="1" defaultAttributeDrillState="1">
      <items count="13">
        <item x="0"/>
        <item x="1"/>
        <item x="2"/>
        <item x="3"/>
        <item x="4"/>
        <item x="5"/>
        <item x="6"/>
        <item x="7"/>
        <item x="8"/>
        <item x="9"/>
        <item x="10"/>
        <item x="11"/>
        <item t="default"/>
      </items>
    </pivotField>
    <pivotField dataField="1" compact="0" outline="0" subtotalTop="0" showAll="0"/>
    <pivotField compact="0" allDrilled="1" outline="0" subtotalTop="0" showAll="0" dataSourceSort="1"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orders]"/>
        <x15:activeTabTopLevelEntity name="[normalized_sales_orders]"/>
      </x15:pivotTableUISettings>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E28972-F10D-4C64-80CA-B2080F406EFE}" name="FulfillmentsTotalSales" cacheId="58" applyNumberFormats="0" applyBorderFormats="0" applyFontFormats="0" applyPatternFormats="0" applyAlignmentFormats="0" applyWidthHeightFormats="1" dataCaption="Values" tag="db57237d-bed3-4ad2-a36e-0e1925f94326" updatedVersion="8" minRefreshableVersion="5" subtotalHiddenItems="1" rowGrandTotals="0" colGrandTotals="0" itemPrintTitles="1" createdVersion="5" indent="0" compact="0" compactData="0" multipleFieldFilters="0" chartFormat="4">
  <location ref="A1:B3" firstHeaderRow="1" firstDataRow="1" firstDataCol="1"/>
  <pivotFields count="4">
    <pivotField axis="axisRow" compact="0" allDrilled="1" outline="0" subtotalTop="0" showAll="0" dataSourceSort="1" defaultAttributeDrillState="1">
      <items count="3">
        <item x="0"/>
        <item x="1"/>
        <item t="default"/>
      </items>
    </pivotField>
    <pivotField dataField="1" compact="0" outline="0" subtotalTop="0" showAll="0"/>
    <pivotField compact="0" allDrilled="1" outline="0" subtotalTop="0" showAll="0" dataSourceSort="1" defaultAttributeDrillState="1">
      <items count="1">
        <item t="default"/>
      </items>
    </pivotField>
    <pivotField compact="0" allDrilled="1" outline="0" subtotalTop="0" showAll="0" dataSourceSort="1" defaultAttributeDrillState="1"/>
  </pivotFields>
  <rowFields count="1">
    <field x="0"/>
  </rowFields>
  <rowItems count="2">
    <i>
      <x/>
    </i>
    <i>
      <x v="1"/>
    </i>
  </rowItems>
  <colItems count="1">
    <i/>
  </colItems>
  <dataFields count="1">
    <dataField fld="1" subtotal="count" baseField="0" baseItem="0"/>
  </dataFields>
  <chartFormats count="3">
    <chartFormat chart="0" format="13" series="1">
      <pivotArea type="data" outline="0" fieldPosition="0">
        <references count="1">
          <reference field="4294967294" count="1" selected="0">
            <x v="0"/>
          </reference>
        </references>
      </pivotArea>
    </chartFormat>
    <chartFormat chart="0" format="14">
      <pivotArea type="data" outline="0" fieldPosition="0">
        <references count="2">
          <reference field="4294967294" count="1" selected="0">
            <x v="0"/>
          </reference>
          <reference field="0" count="1" selected="0">
            <x v="0"/>
          </reference>
        </references>
      </pivotArea>
    </chartFormat>
    <chartFormat chart="0" format="15">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12" name="[sales_orders].[order_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ormalized_sales_orders]"/>
      </x15:pivotTableUISettings>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9F2F3C-9705-4EFA-B710-66E8FFB1134E}" name="Orders" cacheId="49" applyNumberFormats="0" applyBorderFormats="0" applyFontFormats="0" applyPatternFormats="0" applyAlignmentFormats="0" applyWidthHeightFormats="1" dataCaption="Values" tag="eae1c8f5-722e-4d67-bc21-d50c939833e0" updatedVersion="8" minRefreshableVersion="5" subtotalHiddenItems="1" rowGrandTotals="0" colGrandTotals="0" itemPrintTitles="1" createdVersion="5" indent="0" compact="0" compactData="0" multipleFieldFilters="0" chartFormat="8">
  <location ref="A13:C18" firstHeaderRow="0" firstDataRow="1" firstDataCol="1"/>
  <pivotFields count="5">
    <pivotField dataField="1" compact="0" outline="0" subtotalTop="0" showAll="0"/>
    <pivotField axis="axisRow" compact="0" allDrilled="1" outline="0" subtotalTop="0" showAll="0" measureFilter="1" sortType="descending" defaultAttributeDrillState="1">
      <items count="6">
        <item x="0"/>
        <item x="1"/>
        <item x="2"/>
        <item x="3"/>
        <item x="4"/>
        <item t="default"/>
      </items>
      <autoSortScope>
        <pivotArea dataOnly="0" outline="0" fieldPosition="0">
          <references count="1">
            <reference field="4294967294" count="1" selected="0">
              <x v="1"/>
            </reference>
          </references>
        </pivotArea>
      </autoSortScope>
    </pivotField>
    <pivotField dataField="1" compact="0" outline="0" subtotalTop="0" showAll="0"/>
    <pivotField compact="0" allDrilled="1" outline="0" subtotalTop="0" showAll="0" dataSourceSort="1" defaultAttributeDrillState="1">
      <items count="1">
        <item t="default"/>
      </items>
    </pivotField>
    <pivotField compact="0" allDrilled="1" outline="0" subtotalTop="0" showAll="0" dataSourceSort="1" defaultAttributeDrillState="1"/>
  </pivotFields>
  <rowFields count="1">
    <field x="1"/>
  </rowFields>
  <rowItems count="5">
    <i>
      <x v="1"/>
    </i>
    <i>
      <x v="2"/>
    </i>
    <i>
      <x v="4"/>
    </i>
    <i>
      <x v="3"/>
    </i>
    <i>
      <x/>
    </i>
  </rowItems>
  <colFields count="1">
    <field x="-2"/>
  </colFields>
  <colItems count="2">
    <i>
      <x/>
    </i>
    <i i="1">
      <x v="1"/>
    </i>
  </colItems>
  <dataFields count="2">
    <dataField name="Total Products Purchased" fld="2" baseField="0" baseItem="0"/>
    <dataField fld="0" subtotal="count" baseField="0" baseItem="0"/>
  </dataFields>
  <chartFormats count="2">
    <chartFormat chart="3" format="18" series="1">
      <pivotArea type="data" outline="0" fieldPosition="0">
        <references count="1">
          <reference field="4294967294" count="1" selected="0">
            <x v="1"/>
          </reference>
        </references>
      </pivotArea>
    </chartFormat>
    <chartFormat chart="3" format="19"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Total Products Purchase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116" name="[sales_orders].[order_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 fld="1" type="count" id="1" iMeasureHier="23">
      <autoFilter ref="A1">
        <filterColumn colId="0">
          <top10 val="5" filterVal="5"/>
        </filterColumn>
      </autoFilter>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normalized_sales_orders]"/>
        <x15:activeTabTopLevelEntity name="[order_analysis]"/>
        <x15:activeTabTopLevelEntity name="[sales_orders]"/>
      </x15:pivotTableUISettings>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30D0D6-7CAA-40C2-9BE3-F48804F88DDA}" name="ProductsPurchased" cacheId="61" applyNumberFormats="0" applyBorderFormats="0" applyFontFormats="0" applyPatternFormats="0" applyAlignmentFormats="0" applyWidthHeightFormats="1" dataCaption="Values" tag="a708ed70-31c9-4330-b5e8-9e32537b4ad4" updatedVersion="8" minRefreshableVersion="5" subtotalHiddenItems="1" rowGrandTotals="0" colGrandTotals="0" itemPrintTitles="1" createdVersion="5" indent="0" compact="0" compactData="0" multipleFieldFilters="0" chartFormat="15">
  <location ref="A20:C24" firstHeaderRow="0" firstDataRow="1" firstDataCol="1"/>
  <pivotFields count="5">
    <pivotField dataField="1" compact="0" outline="0" subtotalTop="0" showAll="0"/>
    <pivotField compact="0" allDrilled="1" outline="0" subtotalTop="0" showAll="0" dataSourceSort="1" defaultAttributeDrillState="1">
      <items count="1">
        <item t="default"/>
      </items>
    </pivotField>
    <pivotField name="num_products" axis="axisRow" compact="0" allDrilled="1" outline="0" subtotalTop="0" showAll="0" dataSourceSort="1" defaultAttributeDrillState="1">
      <items count="5">
        <item n="1-2" x="0"/>
        <item n="3-4" x="1"/>
        <item n="5-6" x="2"/>
        <item n="7-8" x="3"/>
        <item t="default"/>
      </items>
    </pivotField>
    <pivotField dataField="1" compact="0" outline="0" subtotalTop="0" showAll="0"/>
    <pivotField compact="0" allDrilled="1" outline="0" subtotalTop="0" showAll="0" dataSourceSort="1" defaultAttributeDrillState="1"/>
  </pivotFields>
  <rowFields count="1">
    <field x="2"/>
  </rowFields>
  <rowItems count="4">
    <i>
      <x/>
    </i>
    <i>
      <x v="1"/>
    </i>
    <i>
      <x v="2"/>
    </i>
    <i>
      <x v="3"/>
    </i>
  </rowItems>
  <colFields count="1">
    <field x="-2"/>
  </colFields>
  <colItems count="2">
    <i>
      <x/>
    </i>
    <i i="1">
      <x v="1"/>
    </i>
  </colItems>
  <dataFields count="2">
    <dataField name="Total Quantity Purchased" fld="3" baseField="0" baseItem="0"/>
    <dataField fld="0" subtotal="count" baseField="0" baseItem="0"/>
  </dataFields>
  <chartFormats count="2">
    <chartFormat chart="3" format="12" series="1">
      <pivotArea type="data" outline="0" fieldPosition="0">
        <references count="1">
          <reference field="4294967294" count="1" selected="0">
            <x v="1"/>
          </reference>
        </references>
      </pivotArea>
    </chartFormat>
    <chartFormat chart="3" format="13"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caption="num_products"/>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caption="Total Quantity Purchase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12" name="[sales_orders].[order_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ormalized_sales_orders]"/>
        <x15:activeTabTopLevelEntity name="[order_analysis]"/>
        <x15:activeTabTopLevelEntity name="[sales_orders]"/>
      </x15:pivotTableUISettings>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fillment" xr10:uid="{39A9770E-7025-4ED6-9FAC-293B2A41ED68}" sourceName="[sales_orders].[fulfillment]">
  <pivotTables>
    <pivotTable tabId="1" name="ProductsPurchased"/>
    <pivotTable tabId="1" name="FulfillmentsTotalOrders"/>
    <pivotTable tabId="1" name="FulfillmentsTotalSales"/>
    <pivotTable tabId="1" name="Orders"/>
    <pivotTable tabId="1" name="FulfillmentsAOV"/>
    <pivotTable tabId="1" name="MoMSalesAnalysis"/>
  </pivotTables>
  <data>
    <olap pivotCacheId="15002242">
      <levels count="2">
        <level uniqueName="[sales_orders].[fulfillment].[(All)]" sourceCaption="(All)" count="0"/>
        <level uniqueName="[sales_orders].[fulfillment].[fulfillment]" sourceCaption="fulfillment" count="2">
          <ranges>
            <range startItem="0">
              <i n="[sales_orders].[fulfillment].&amp;[In store]" c="In store"/>
              <i n="[sales_orders].[fulfillment].&amp;[Online]" c="Online"/>
            </range>
          </ranges>
        </level>
      </levels>
      <selections count="1">
        <selection n="[sales_orders].[fulfill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4FB9C44D-B9B8-4DC4-BBDF-A73BCDE14466}" sourceName="[sales_orders].[order_date (Year)]">
  <pivotTables>
    <pivotTable tabId="1" name="Orders"/>
    <pivotTable tabId="1" name="FulfillmentsAOV"/>
    <pivotTable tabId="1" name="FulfillmentsTotalOrders"/>
    <pivotTable tabId="1" name="FulfillmentsTotalSales"/>
    <pivotTable tabId="1" name="ProductsPurchased"/>
    <pivotTable tabId="1" name="MoMSalesAnalysis"/>
  </pivotTables>
  <data>
    <olap pivotCacheId="856014370">
      <levels count="2">
        <level uniqueName="[sales_orders].[order_date (Year)].[(All)]" sourceCaption="(All)" count="0"/>
        <level uniqueName="[sales_orders].[order_date (Year)].[order_date (Year)]" sourceCaption="order_date (Year)" count="5">
          <ranges>
            <range startItem="0">
              <i n="[sales_orders].[order_date (Year)].&amp;[2016]" c="2016"/>
              <i n="[sales_orders].[order_date (Year)].&amp;[2017]" c="2017"/>
              <i n="[sales_orders].[order_date (Year)].&amp;[2018]" c="2018"/>
              <i n="[sales_orders].[order_date (Year)].&amp;[2019]" c="2019"/>
              <i n="[sales_orders].[order_date (Year)].&amp;[2020]" c="2020"/>
            </range>
          </ranges>
        </level>
      </levels>
      <selections count="1">
        <selection n="[sales_orders].[order_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lfillment" xr10:uid="{40A3E024-0F0A-4C96-9408-7C77C3A10EBB}" cache="Slicer_fulfillment" caption="Fulfillment" columnCount="2" level="1" style="SlicerStyleDark6" rowHeight="257175"/>
  <slicer name="order_date (Year)" xr10:uid="{61110E77-2167-4526-A53F-486A87F9343E}" cache="Slicer_order_date__Year" caption="Year" columnCount="5" level="1" style="SlicerStyleDark6"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C5005-D05A-47B9-8888-727224B9FD3F}">
  <dimension ref="A1:K38"/>
  <sheetViews>
    <sheetView workbookViewId="0"/>
  </sheetViews>
  <sheetFormatPr defaultRowHeight="15" x14ac:dyDescent="0.25"/>
  <cols>
    <col min="1" max="1" width="14.85546875" bestFit="1" customWidth="1"/>
    <col min="2" max="2" width="24.140625" bestFit="1" customWidth="1"/>
    <col min="3" max="3" width="10.7109375" bestFit="1" customWidth="1"/>
    <col min="4" max="4" width="12.85546875" bestFit="1" customWidth="1"/>
    <col min="5" max="5" width="19.42578125" bestFit="1" customWidth="1"/>
    <col min="6" max="6" width="11.85546875" bestFit="1" customWidth="1"/>
    <col min="7" max="7" width="10.5703125" bestFit="1" customWidth="1"/>
    <col min="8" max="8" width="9.140625" customWidth="1"/>
    <col min="9" max="9" width="11.85546875" bestFit="1" customWidth="1"/>
    <col min="10" max="11" width="9.140625" customWidth="1"/>
    <col min="13" max="13" width="10.5703125" bestFit="1" customWidth="1"/>
    <col min="15" max="15" width="11.85546875" bestFit="1" customWidth="1"/>
    <col min="17" max="17" width="9.5703125" bestFit="1" customWidth="1"/>
  </cols>
  <sheetData>
    <row r="1" spans="1:11" ht="15.75" thickBot="1" x14ac:dyDescent="0.3">
      <c r="A1" s="1" t="s">
        <v>1</v>
      </c>
      <c r="B1" t="s">
        <v>4</v>
      </c>
      <c r="D1" s="1" t="s">
        <v>1</v>
      </c>
      <c r="E1" t="s">
        <v>4</v>
      </c>
      <c r="G1" s="11" t="s">
        <v>4</v>
      </c>
      <c r="H1" s="10"/>
      <c r="I1" s="11" t="s">
        <v>0</v>
      </c>
      <c r="J1" s="10"/>
      <c r="K1" s="11" t="s">
        <v>27</v>
      </c>
    </row>
    <row r="2" spans="1:11" ht="15.75" thickTop="1" x14ac:dyDescent="0.25">
      <c r="A2" t="s">
        <v>2</v>
      </c>
      <c r="B2" s="2">
        <v>183532.19000000009</v>
      </c>
      <c r="D2" t="s">
        <v>2</v>
      </c>
      <c r="E2" s="2">
        <v>183532.19000000009</v>
      </c>
      <c r="G2" s="14" t="str">
        <f>TEXT(SUM(B2:B3),"$#,##, K")</f>
        <v>$202 K</v>
      </c>
      <c r="H2" s="10"/>
      <c r="I2" s="13">
        <f>SUM(B6:B7)</f>
        <v>100</v>
      </c>
      <c r="J2" s="10"/>
      <c r="K2" s="12" t="str">
        <f>TEXT(SUM(B2:B3)/I2,"$#,###")</f>
        <v>$2,018</v>
      </c>
    </row>
    <row r="3" spans="1:11" x14ac:dyDescent="0.25">
      <c r="A3" t="s">
        <v>3</v>
      </c>
      <c r="B3" s="2">
        <v>18238.98</v>
      </c>
      <c r="D3" t="s">
        <v>3</v>
      </c>
      <c r="E3" s="2">
        <v>18238.98</v>
      </c>
    </row>
    <row r="5" spans="1:11" x14ac:dyDescent="0.25">
      <c r="A5" s="1" t="s">
        <v>1</v>
      </c>
      <c r="B5" t="s">
        <v>0</v>
      </c>
      <c r="D5" s="1" t="s">
        <v>1</v>
      </c>
      <c r="E5" t="s">
        <v>0</v>
      </c>
    </row>
    <row r="6" spans="1:11" x14ac:dyDescent="0.25">
      <c r="A6" t="s">
        <v>2</v>
      </c>
      <c r="B6" s="15">
        <v>83</v>
      </c>
      <c r="D6" t="s">
        <v>2</v>
      </c>
      <c r="E6">
        <v>83</v>
      </c>
    </row>
    <row r="7" spans="1:11" x14ac:dyDescent="0.25">
      <c r="A7" t="s">
        <v>3</v>
      </c>
      <c r="B7" s="15">
        <v>17</v>
      </c>
      <c r="D7" t="s">
        <v>3</v>
      </c>
      <c r="E7">
        <v>17</v>
      </c>
    </row>
    <row r="9" spans="1:11" x14ac:dyDescent="0.25">
      <c r="A9" s="1" t="s">
        <v>1</v>
      </c>
      <c r="B9" t="s">
        <v>5</v>
      </c>
      <c r="D9" s="1" t="s">
        <v>1</v>
      </c>
      <c r="E9" t="s">
        <v>5</v>
      </c>
    </row>
    <row r="10" spans="1:11" x14ac:dyDescent="0.25">
      <c r="A10" t="s">
        <v>2</v>
      </c>
      <c r="B10" s="3">
        <v>2211.231204819278</v>
      </c>
      <c r="D10" t="s">
        <v>2</v>
      </c>
      <c r="E10" s="3">
        <v>2211.231204819278</v>
      </c>
    </row>
    <row r="11" spans="1:11" x14ac:dyDescent="0.25">
      <c r="A11" t="s">
        <v>3</v>
      </c>
      <c r="B11" s="3">
        <v>1072.8811764705881</v>
      </c>
      <c r="D11" t="s">
        <v>3</v>
      </c>
      <c r="E11" s="3">
        <v>1072.8811764705881</v>
      </c>
    </row>
    <row r="13" spans="1:11" x14ac:dyDescent="0.25">
      <c r="A13" s="1" t="s">
        <v>25</v>
      </c>
      <c r="B13" t="s">
        <v>26</v>
      </c>
      <c r="C13" t="s">
        <v>4</v>
      </c>
    </row>
    <row r="14" spans="1:11" x14ac:dyDescent="0.25">
      <c r="A14">
        <v>1371011</v>
      </c>
      <c r="B14" s="15">
        <v>7</v>
      </c>
      <c r="C14" s="2">
        <v>18600.5</v>
      </c>
    </row>
    <row r="15" spans="1:11" x14ac:dyDescent="0.25">
      <c r="A15">
        <v>1599043</v>
      </c>
      <c r="B15" s="15">
        <v>5</v>
      </c>
      <c r="C15" s="2">
        <v>14432.88</v>
      </c>
    </row>
    <row r="16" spans="1:11" x14ac:dyDescent="0.25">
      <c r="A16">
        <v>1885025</v>
      </c>
      <c r="B16" s="15">
        <v>2</v>
      </c>
      <c r="C16" s="2">
        <v>9713.7199999999993</v>
      </c>
    </row>
    <row r="17" spans="1:8" x14ac:dyDescent="0.25">
      <c r="A17">
        <v>1812007</v>
      </c>
      <c r="B17" s="15">
        <v>2</v>
      </c>
      <c r="C17" s="2">
        <v>7291.6</v>
      </c>
    </row>
    <row r="18" spans="1:8" x14ac:dyDescent="0.25">
      <c r="A18">
        <v>1321003</v>
      </c>
      <c r="B18" s="15">
        <v>3</v>
      </c>
      <c r="C18" s="2">
        <v>6275.4</v>
      </c>
    </row>
    <row r="20" spans="1:8" x14ac:dyDescent="0.25">
      <c r="A20" s="1" t="s">
        <v>24</v>
      </c>
      <c r="B20" t="s">
        <v>19</v>
      </c>
      <c r="C20" t="s">
        <v>4</v>
      </c>
    </row>
    <row r="21" spans="1:8" x14ac:dyDescent="0.25">
      <c r="A21" t="s">
        <v>20</v>
      </c>
      <c r="B21" s="15">
        <v>308</v>
      </c>
      <c r="C21" s="2">
        <v>88319.260000000009</v>
      </c>
    </row>
    <row r="22" spans="1:8" x14ac:dyDescent="0.25">
      <c r="A22" t="s">
        <v>21</v>
      </c>
      <c r="B22" s="15">
        <v>321</v>
      </c>
      <c r="C22" s="2">
        <v>66181.599999999991</v>
      </c>
    </row>
    <row r="23" spans="1:8" x14ac:dyDescent="0.25">
      <c r="A23" t="s">
        <v>22</v>
      </c>
      <c r="B23" s="15">
        <v>58</v>
      </c>
      <c r="C23" s="2">
        <v>22210.78</v>
      </c>
    </row>
    <row r="24" spans="1:8" x14ac:dyDescent="0.25">
      <c r="A24" t="s">
        <v>23</v>
      </c>
      <c r="B24" s="15">
        <v>73</v>
      </c>
      <c r="C24" s="2">
        <v>25059.529999999995</v>
      </c>
      <c r="H24" s="10"/>
    </row>
    <row r="26" spans="1:8" ht="15.75" thickBot="1" x14ac:dyDescent="0.3">
      <c r="A26" s="1" t="s">
        <v>6</v>
      </c>
      <c r="B26" t="s">
        <v>4</v>
      </c>
      <c r="D26" s="8" t="str" cm="1">
        <f t="array" ref="D26:E26">A26:B26</f>
        <v>order_month</v>
      </c>
      <c r="E26" s="9" t="str">
        <v>Total Sales</v>
      </c>
    </row>
    <row r="27" spans="1:8" ht="15.75" thickTop="1" x14ac:dyDescent="0.25">
      <c r="A27" t="s">
        <v>10</v>
      </c>
      <c r="B27" s="2">
        <v>28659.55</v>
      </c>
      <c r="D27" s="6" t="str" cm="1">
        <f t="array" ref="D27:D38">{"Jan";"Feb";"Mar";"Apr";"May";"Jun";"Jul";"Aug";"Sep";"Oct";"Nov";"Dec"}</f>
        <v>Jan</v>
      </c>
      <c r="E27" s="7" cm="1">
        <f t="array" ref="E27:E38">_xlfn.XLOOKUP(_xlfn.ANCHORARRAY(D27),A27:A38,B27:B38,0)</f>
        <v>28659.55</v>
      </c>
    </row>
    <row r="28" spans="1:8" x14ac:dyDescent="0.25">
      <c r="A28" t="s">
        <v>9</v>
      </c>
      <c r="B28" s="2">
        <v>22365.11</v>
      </c>
      <c r="D28" s="4" t="str">
        <v>Feb</v>
      </c>
      <c r="E28" s="5">
        <v>22365.11</v>
      </c>
    </row>
    <row r="29" spans="1:8" x14ac:dyDescent="0.25">
      <c r="A29" t="s">
        <v>12</v>
      </c>
      <c r="B29" s="2">
        <v>2990.86</v>
      </c>
      <c r="D29" s="4" t="str">
        <v>Mar</v>
      </c>
      <c r="E29" s="5">
        <v>2990.86</v>
      </c>
    </row>
    <row r="30" spans="1:8" x14ac:dyDescent="0.25">
      <c r="A30" t="s">
        <v>7</v>
      </c>
      <c r="B30" s="2">
        <v>2412</v>
      </c>
      <c r="D30" s="4" t="str">
        <v>Apr</v>
      </c>
      <c r="E30" s="5">
        <v>2412</v>
      </c>
    </row>
    <row r="31" spans="1:8" x14ac:dyDescent="0.25">
      <c r="A31" t="s">
        <v>14</v>
      </c>
      <c r="B31" s="2">
        <v>14843.009999999998</v>
      </c>
      <c r="D31" s="4" t="str">
        <v>May</v>
      </c>
      <c r="E31" s="5">
        <v>14843.009999999998</v>
      </c>
    </row>
    <row r="32" spans="1:8" x14ac:dyDescent="0.25">
      <c r="A32" t="s">
        <v>11</v>
      </c>
      <c r="B32" s="2">
        <v>17507.03</v>
      </c>
      <c r="D32" s="4" t="str">
        <v>Jun</v>
      </c>
      <c r="E32" s="5">
        <v>17507.03</v>
      </c>
    </row>
    <row r="33" spans="1:5" x14ac:dyDescent="0.25">
      <c r="A33" t="s">
        <v>15</v>
      </c>
      <c r="B33" s="2">
        <v>7360.15</v>
      </c>
      <c r="D33" s="4" t="str">
        <v>Jul</v>
      </c>
      <c r="E33" s="5">
        <v>7360.15</v>
      </c>
    </row>
    <row r="34" spans="1:5" x14ac:dyDescent="0.25">
      <c r="A34" t="s">
        <v>16</v>
      </c>
      <c r="B34" s="2">
        <v>10677.21</v>
      </c>
      <c r="D34" s="4" t="str">
        <v>Aug</v>
      </c>
      <c r="E34" s="5">
        <v>10677.21</v>
      </c>
    </row>
    <row r="35" spans="1:5" x14ac:dyDescent="0.25">
      <c r="A35" t="s">
        <v>17</v>
      </c>
      <c r="B35" s="2">
        <v>4298.92</v>
      </c>
      <c r="D35" s="4" t="str">
        <v>Sep</v>
      </c>
      <c r="E35" s="5">
        <v>4298.92</v>
      </c>
    </row>
    <row r="36" spans="1:5" x14ac:dyDescent="0.25">
      <c r="A36" t="s">
        <v>18</v>
      </c>
      <c r="B36" s="2">
        <v>43862.19</v>
      </c>
      <c r="D36" s="4" t="str">
        <v>Oct</v>
      </c>
      <c r="E36" s="5">
        <v>43862.19</v>
      </c>
    </row>
    <row r="37" spans="1:5" x14ac:dyDescent="0.25">
      <c r="A37" t="s">
        <v>13</v>
      </c>
      <c r="B37" s="2">
        <v>11899.4</v>
      </c>
      <c r="D37" s="4" t="str">
        <v>Nov</v>
      </c>
      <c r="E37" s="5">
        <v>11899.4</v>
      </c>
    </row>
    <row r="38" spans="1:5" x14ac:dyDescent="0.25">
      <c r="A38" t="s">
        <v>8</v>
      </c>
      <c r="B38" s="2">
        <v>34895.74</v>
      </c>
      <c r="D38" s="4" t="str">
        <v>Dec</v>
      </c>
      <c r="E38" s="5">
        <v>34895.74</v>
      </c>
    </row>
  </sheetData>
  <pageMargins left="0.7" right="0.7" top="0.75" bottom="0.75" header="0.3" footer="0.3"/>
  <pageSetup orientation="portrait" horizontalDpi="300" verticalDpi="300"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BCF0C-98FE-42E5-BC99-9E2BE85B6D64}">
  <dimension ref="A1"/>
  <sheetViews>
    <sheetView showGridLines="0" tabSelected="1" workbookViewId="0">
      <selection activeCell="L1" sqref="L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B45EF-E105-4A3E-A77C-6D3139280E41}">
  <dimension ref="A1"/>
  <sheetViews>
    <sheetView showGridLines="0" workbookViewId="0">
      <selection activeCell="Q1" sqref="Q1"/>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793A13D6-51FA-49A9-86B8-67E60A18A2FC}">
  <ds:schemaRefs/>
</ds:datastoreItem>
</file>

<file path=customXml/itemProps2.xml><?xml version="1.0" encoding="utf-8"?>
<ds:datastoreItem xmlns:ds="http://schemas.openxmlformats.org/officeDocument/2006/customXml" ds:itemID="{C3A2E7FA-3FCD-4A10-9807-C3AD92BF8FCD}">
  <ds:schemaRefs/>
</ds:datastoreItem>
</file>

<file path=customXml/itemProps3.xml><?xml version="1.0" encoding="utf-8"?>
<ds:datastoreItem xmlns:ds="http://schemas.openxmlformats.org/officeDocument/2006/customXml" ds:itemID="{CDAC0066-E79D-4982-A4A2-4BE3324EE30F}">
  <ds:schemaRefs/>
</ds:datastoreItem>
</file>

<file path=customXml/itemProps4.xml><?xml version="1.0" encoding="utf-8"?>
<ds:datastoreItem xmlns:ds="http://schemas.openxmlformats.org/officeDocument/2006/customXml" ds:itemID="{64AB481B-2871-43C6-A225-185E3EE45844}">
  <ds:schemaRefs/>
</ds:datastoreItem>
</file>

<file path=customXml/itemProps5.xml><?xml version="1.0" encoding="utf-8"?>
<ds:datastoreItem xmlns:ds="http://schemas.openxmlformats.org/officeDocument/2006/customXml" ds:itemID="{3DE0C541-6E62-4813-947E-33D1926D39D9}">
  <ds:schemaRefs/>
</ds:datastoreItem>
</file>

<file path=customXml/itemProps6.xml><?xml version="1.0" encoding="utf-8"?>
<ds:datastoreItem xmlns:ds="http://schemas.openxmlformats.org/officeDocument/2006/customXml" ds:itemID="{C4180AC7-A71C-402B-9F34-AC7D36CA97E2}">
  <ds:schemaRefs/>
</ds:datastoreItem>
</file>

<file path=customXml/itemProps7.xml><?xml version="1.0" encoding="utf-8"?>
<ds:datastoreItem xmlns:ds="http://schemas.openxmlformats.org/officeDocument/2006/customXml" ds:itemID="{FB660593-3827-4799-8AD0-E8C963F09571}">
  <ds:schemaRefs>
    <ds:schemaRef ds:uri="http://schemas.microsoft.com/DataMashup"/>
  </ds:schemaRefs>
</ds:datastoreItem>
</file>

<file path=customXml/itemProps8.xml><?xml version="1.0" encoding="utf-8"?>
<ds:datastoreItem xmlns:ds="http://schemas.openxmlformats.org/officeDocument/2006/customXml" ds:itemID="{2ADC1A88-2E63-4624-AB5F-028BC8C56582}">
  <ds:schemaRefs/>
</ds:datastoreItem>
</file>

<file path=customXml/itemProps9.xml><?xml version="1.0" encoding="utf-8"?>
<ds:datastoreItem xmlns:ds="http://schemas.openxmlformats.org/officeDocument/2006/customXml" ds:itemID="{EE402F54-D214-4EB9-8CFB-C3CC49B244E7}">
  <ds:schemaRefs/>
</ds:datastoreItem>
</file>

<file path=customXml/itemProps10.xml><?xml version="1.0" encoding="utf-8"?>
<ds:datastoreItem xmlns:ds="http://schemas.openxmlformats.org/officeDocument/2006/customXml" ds:itemID="{6C1EE8C6-EB06-4F3F-A503-AD3DAABFF4D1}">
  <ds:schemaRefs/>
</ds:datastoreItem>
</file>

<file path=customXml/itemProps11.xml><?xml version="1.0" encoding="utf-8"?>
<ds:datastoreItem xmlns:ds="http://schemas.openxmlformats.org/officeDocument/2006/customXml" ds:itemID="{1783E6EE-9BC4-40A1-85FF-0E380E79E22D}">
  <ds:schemaRefs/>
</ds:datastoreItem>
</file>

<file path=customXml/itemProps12.xml><?xml version="1.0" encoding="utf-8"?>
<ds:datastoreItem xmlns:ds="http://schemas.openxmlformats.org/officeDocument/2006/customXml" ds:itemID="{5B5917AE-878A-4E80-9B36-7B01D7C918CE}">
  <ds:schemaRefs/>
</ds:datastoreItem>
</file>

<file path=customXml/itemProps13.xml><?xml version="1.0" encoding="utf-8"?>
<ds:datastoreItem xmlns:ds="http://schemas.openxmlformats.org/officeDocument/2006/customXml" ds:itemID="{E2C10CE7-A73D-4C46-B596-444B6AB256B9}">
  <ds:schemaRefs/>
</ds:datastoreItem>
</file>

<file path=customXml/itemProps14.xml><?xml version="1.0" encoding="utf-8"?>
<ds:datastoreItem xmlns:ds="http://schemas.openxmlformats.org/officeDocument/2006/customXml" ds:itemID="{4A2BAA44-12B1-4732-BA7D-31316EE6A09C}">
  <ds:schemaRefs/>
</ds:datastoreItem>
</file>

<file path=customXml/itemProps15.xml><?xml version="1.0" encoding="utf-8"?>
<ds:datastoreItem xmlns:ds="http://schemas.openxmlformats.org/officeDocument/2006/customXml" ds:itemID="{28027775-697F-40F7-9288-FBA2874AAD05}">
  <ds:schemaRefs/>
</ds:datastoreItem>
</file>

<file path=customXml/itemProps16.xml><?xml version="1.0" encoding="utf-8"?>
<ds:datastoreItem xmlns:ds="http://schemas.openxmlformats.org/officeDocument/2006/customXml" ds:itemID="{98A34E08-2C93-444B-8F20-71F545CE673C}">
  <ds:schemaRefs/>
</ds:datastoreItem>
</file>

<file path=customXml/itemProps17.xml><?xml version="1.0" encoding="utf-8"?>
<ds:datastoreItem xmlns:ds="http://schemas.openxmlformats.org/officeDocument/2006/customXml" ds:itemID="{D4C2BCBB-22BE-4694-9DC3-13B6248812A2}">
  <ds:schemaRefs/>
</ds:datastoreItem>
</file>

<file path=customXml/itemProps18.xml><?xml version="1.0" encoding="utf-8"?>
<ds:datastoreItem xmlns:ds="http://schemas.openxmlformats.org/officeDocument/2006/customXml" ds:itemID="{A24A173C-1E8E-4611-A21D-463A5FE1CBFD}">
  <ds:schemaRefs/>
</ds:datastoreItem>
</file>

<file path=customXml/itemProps19.xml><?xml version="1.0" encoding="utf-8"?>
<ds:datastoreItem xmlns:ds="http://schemas.openxmlformats.org/officeDocument/2006/customXml" ds:itemID="{B88DFBFA-799D-45AB-B2C7-5635B67C437F}">
  <ds:schemaRefs/>
</ds:datastoreItem>
</file>

<file path=customXml/itemProps20.xml><?xml version="1.0" encoding="utf-8"?>
<ds:datastoreItem xmlns:ds="http://schemas.openxmlformats.org/officeDocument/2006/customXml" ds:itemID="{081D70B1-38C8-4C0F-8D76-B219C4DB57A6}">
  <ds:schemaRefs/>
</ds:datastoreItem>
</file>

<file path=customXml/itemProps21.xml><?xml version="1.0" encoding="utf-8"?>
<ds:datastoreItem xmlns:ds="http://schemas.openxmlformats.org/officeDocument/2006/customXml" ds:itemID="{19427215-6828-45F6-8126-F24E2CD355E6}">
  <ds:schemaRefs/>
</ds:datastoreItem>
</file>

<file path=customXml/itemProps22.xml><?xml version="1.0" encoding="utf-8"?>
<ds:datastoreItem xmlns:ds="http://schemas.openxmlformats.org/officeDocument/2006/customXml" ds:itemID="{13BE74AD-FF2E-48BA-9207-F7C463BAFE22}">
  <ds:schemaRefs/>
</ds:datastoreItem>
</file>

<file path=customXml/itemProps23.xml><?xml version="1.0" encoding="utf-8"?>
<ds:datastoreItem xmlns:ds="http://schemas.openxmlformats.org/officeDocument/2006/customXml" ds:itemID="{0D02EC0C-9B97-491F-AEBA-46688D352142}">
  <ds:schemaRefs/>
</ds:datastoreItem>
</file>

<file path=customXml/itemProps24.xml><?xml version="1.0" encoding="utf-8"?>
<ds:datastoreItem xmlns:ds="http://schemas.openxmlformats.org/officeDocument/2006/customXml" ds:itemID="{86168C8C-04CF-4B4F-A0A4-A9BB1F0D25EC}">
  <ds:schemaRefs/>
</ds:datastoreItem>
</file>

<file path=customXml/itemProps25.xml><?xml version="1.0" encoding="utf-8"?>
<ds:datastoreItem xmlns:ds="http://schemas.openxmlformats.org/officeDocument/2006/customXml" ds:itemID="{1A36C36B-F599-4488-B40F-FF0BD302D84A}">
  <ds:schemaRefs/>
</ds:datastoreItem>
</file>

<file path=customXml/itemProps26.xml><?xml version="1.0" encoding="utf-8"?>
<ds:datastoreItem xmlns:ds="http://schemas.openxmlformats.org/officeDocument/2006/customXml" ds:itemID="{E416AED7-5093-48B3-8A97-0CC1A1D57DB0}">
  <ds:schemaRefs/>
</ds:datastoreItem>
</file>

<file path=customXml/itemProps27.xml><?xml version="1.0" encoding="utf-8"?>
<ds:datastoreItem xmlns:ds="http://schemas.openxmlformats.org/officeDocument/2006/customXml" ds:itemID="{713CEDAD-D09C-4531-A174-51539F2EF9D9}">
  <ds:schemaRefs/>
</ds:datastoreItem>
</file>

<file path=customXml/itemProps28.xml><?xml version="1.0" encoding="utf-8"?>
<ds:datastoreItem xmlns:ds="http://schemas.openxmlformats.org/officeDocument/2006/customXml" ds:itemID="{B8925F53-2E7E-481C-8545-D4CBB6D3FC10}">
  <ds:schemaRefs/>
</ds:datastoreItem>
</file>

<file path=customXml/itemProps29.xml><?xml version="1.0" encoding="utf-8"?>
<ds:datastoreItem xmlns:ds="http://schemas.openxmlformats.org/officeDocument/2006/customXml" ds:itemID="{5485CCE5-5E1F-4E6F-A512-8B46027B0017}">
  <ds:schemaRefs/>
</ds:datastoreItem>
</file>

<file path=customXml/itemProps30.xml><?xml version="1.0" encoding="utf-8"?>
<ds:datastoreItem xmlns:ds="http://schemas.openxmlformats.org/officeDocument/2006/customXml" ds:itemID="{04EB0A2C-05CD-481C-BBC4-8B48067EBA3E}">
  <ds:schemaRefs/>
</ds:datastoreItem>
</file>

<file path=customXml/itemProps31.xml><?xml version="1.0" encoding="utf-8"?>
<ds:datastoreItem xmlns:ds="http://schemas.openxmlformats.org/officeDocument/2006/customXml" ds:itemID="{4F3F0092-B3D1-4FE8-887E-97BBBA66688B}">
  <ds:schemaRefs/>
</ds:datastoreItem>
</file>

<file path=customXml/itemProps32.xml><?xml version="1.0" encoding="utf-8"?>
<ds:datastoreItem xmlns:ds="http://schemas.openxmlformats.org/officeDocument/2006/customXml" ds:itemID="{BCC5C49E-8DCE-44D8-BFE2-75EE837B0276}">
  <ds:schemaRefs/>
</ds:datastoreItem>
</file>

<file path=customXml/itemProps33.xml><?xml version="1.0" encoding="utf-8"?>
<ds:datastoreItem xmlns:ds="http://schemas.openxmlformats.org/officeDocument/2006/customXml" ds:itemID="{34FEC13A-F686-41F2-AAF4-F10453BD13BF}">
  <ds:schemaRefs/>
</ds:datastoreItem>
</file>

<file path=customXml/itemProps34.xml><?xml version="1.0" encoding="utf-8"?>
<ds:datastoreItem xmlns:ds="http://schemas.openxmlformats.org/officeDocument/2006/customXml" ds:itemID="{BDF82F8B-7AFB-41E7-89EE-BE0E2A0A3D6F}">
  <ds:schemaRefs/>
</ds:datastoreItem>
</file>

<file path=customXml/itemProps35.xml><?xml version="1.0" encoding="utf-8"?>
<ds:datastoreItem xmlns:ds="http://schemas.openxmlformats.org/officeDocument/2006/customXml" ds:itemID="{7B52A5BA-DA7A-4B9F-AD51-06A58F31DD79}">
  <ds:schemaRefs/>
</ds:datastoreItem>
</file>

<file path=customXml/itemProps36.xml><?xml version="1.0" encoding="utf-8"?>
<ds:datastoreItem xmlns:ds="http://schemas.openxmlformats.org/officeDocument/2006/customXml" ds:itemID="{CDECFD2A-9BC2-4C3B-AECC-C4DEE8D36675}">
  <ds:schemaRefs/>
</ds:datastoreItem>
</file>

<file path=customXml/itemProps37.xml><?xml version="1.0" encoding="utf-8"?>
<ds:datastoreItem xmlns:ds="http://schemas.openxmlformats.org/officeDocument/2006/customXml" ds:itemID="{839BA25F-677E-4585-932B-1DA18708C7C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2018 MoM Growth Anomoly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Barnett</dc:creator>
  <cp:lastModifiedBy>Christopher Barnett</cp:lastModifiedBy>
  <cp:lastPrinted>2026-04-18T11:17:11Z</cp:lastPrinted>
  <dcterms:created xsi:type="dcterms:W3CDTF">2026-03-30T14:08:49Z</dcterms:created>
  <dcterms:modified xsi:type="dcterms:W3CDTF">2026-04-25T22:18:25Z</dcterms:modified>
</cp:coreProperties>
</file>