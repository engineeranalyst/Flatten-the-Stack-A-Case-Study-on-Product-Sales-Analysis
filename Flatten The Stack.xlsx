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3.xml" ContentType="application/vnd.openxmlformats-officedocument.themeOverrid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4.xml" ContentType="application/vnd.openxmlformats-officedocument.themeOverrid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5.xml" ContentType="application/vnd.openxmlformats-officedocument.themeOverrid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3"/>
  <workbookPr hidePivotFieldList="1" defaultThemeVersion="202300"/>
  <mc:AlternateContent xmlns:mc="http://schemas.openxmlformats.org/markup-compatibility/2006">
    <mc:Choice Requires="x15">
      <x15ac:absPath xmlns:x15ac="http://schemas.microsoft.com/office/spreadsheetml/2010/11/ac" url="https://d.docs.live.net/190cc22740fbed76/1.) PLANS/1.) Studies/1.) Maven Analytics/6.) Data Drills/Flatten the Stack/"/>
    </mc:Choice>
  </mc:AlternateContent>
  <xr:revisionPtr revIDLastSave="508" documentId="13_ncr:1_{D2B2616F-88C3-475B-8CA1-1A4A74605421}" xr6:coauthVersionLast="47" xr6:coauthVersionMax="47" xr10:uidLastSave="{D94E8B27-DFC2-498A-B7E6-BB49607DE628}"/>
  <bookViews>
    <workbookView xWindow="-120" yWindow="-120" windowWidth="29040" windowHeight="15720" xr2:uid="{3CA7F268-9CE6-4C74-9247-443473D7312D}"/>
  </bookViews>
  <sheets>
    <sheet name="Pivot Tables" sheetId="1" r:id="rId1"/>
    <sheet name="Dashboard" sheetId="2" r:id="rId2"/>
  </sheets>
  <definedNames>
    <definedName name="_xlchart.v1.0" hidden="1">'Pivot Tables'!$D$27:$D$38</definedName>
    <definedName name="_xlchart.v1.1" hidden="1">'Pivot Tables'!$E$26</definedName>
    <definedName name="_xlchart.v1.2" hidden="1">'Pivot Tables'!$E$27:$E$38</definedName>
    <definedName name="Slicer_fulfillment">#N/A</definedName>
    <definedName name="Slicer_order_year">#N/A</definedName>
  </definedNames>
  <calcPr calcId="191029"/>
  <pivotCaches>
    <pivotCache cacheId="5" r:id="rId3"/>
    <pivotCache cacheId="996" r:id="rId4"/>
    <pivotCache cacheId="999" r:id="rId5"/>
    <pivotCache cacheId="1002" r:id="rId6"/>
    <pivotCache cacheId="1284" r:id="rId7"/>
    <pivotCache cacheId="1287" r:id="rId8"/>
  </pivotCaches>
  <extLst>
    <ext xmlns:x14="http://schemas.microsoft.com/office/spreadsheetml/2009/9/main" uri="{876F7934-8845-4945-9796-88D515C7AA90}">
      <x14:pivotCaches>
        <pivotCache cacheId="989" r:id="rId9"/>
      </x14:pivotCaches>
    </ex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normalized_sales_orders_5454b6c5-a6f7-48cd-8750-ccbf24a481ab" name="normalized_sales_orders" connection="Query - normalized_sales_orders"/>
          <x15:modelTable id="order_analysis_a63c3f66-5f73-46e2-bf92-5659e0ea3bd9" name="order_analysis" connection="Query - order_analysis"/>
          <x15:modelTable id="sales_orders_c11a70b4-b1ca-44b3-940a-e717449e58a2" name="sales_orders" connection="Query - sales_orders"/>
        </x15:modelTables>
        <x15:modelRelationships>
          <x15:modelRelationship fromTable="normalized_sales_orders" fromColumn="order_number" toTable="sales_orders" toColumn="order_number"/>
          <x15:modelRelationship fromTable="normalized_sales_orders" fromColumn="order_number" toTable="order_analysis" toColumn="order_number"/>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1" l="1"/>
  <c r="F2" i="1"/>
  <c r="H2" i="1" s="1"/>
  <c r="E27" i="1" a="1"/>
  <c r="E27" i="1" s="1"/>
  <c r="E26" i="1"/>
  <c r="D26" i="1"/>
  <c r="D27" i="1" a="1"/>
  <c r="D27"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98097B6-28BF-4856-9E8B-0B965C930DA1}" keepAlive="1" name="Query - mom_growth" description="Connection to the 'mom_growth' query in the workbook." type="5" refreshedVersion="8" background="1">
    <dbPr connection="Provider=Microsoft.Mashup.OleDb.1;Data Source=$Workbook$;Location=mom_growth;Extended Properties=&quot;&quot;" command="SELECT * FROM [mom_growth]"/>
  </connection>
  <connection id="2" xr16:uid="{940003CF-BE8B-4421-B68A-7D5CC11F779F}" name="Query - normalized_sales_orders" description="Connection to the 'normalized_sales_orders' query in the workbook." type="100" refreshedVersion="8" minRefreshableVersion="5">
    <extLst>
      <ext xmlns:x15="http://schemas.microsoft.com/office/spreadsheetml/2010/11/main" uri="{DE250136-89BD-433C-8126-D09CA5730AF9}">
        <x15:connection id="12a49e05-bc09-4b3a-86b4-fbe6113ea2dd">
          <x15:oledbPr connection="Provider=Microsoft.Mashup.OleDb.1;Data Source=$Workbook$;Location=normalized_sales_orders;Extended Properties=&quot;&quot;">
            <x15:dbTables>
              <x15:dbTable name="normalized_sales_orders"/>
            </x15:dbTables>
          </x15:oledbPr>
        </x15:connection>
      </ext>
    </extLst>
  </connection>
  <connection id="3" xr16:uid="{3EAC65AC-DB23-4471-9936-B2A27CC991EA}" name="Query - order_analysis" description="Connection to the 'order_analysis' query in the workbook." type="100" refreshedVersion="8" minRefreshableVersion="5">
    <extLst>
      <ext xmlns:x15="http://schemas.microsoft.com/office/spreadsheetml/2010/11/main" uri="{DE250136-89BD-433C-8126-D09CA5730AF9}">
        <x15:connection id="7d0433aa-e1ed-4322-bc9a-c30cce275256"/>
      </ext>
    </extLst>
  </connection>
  <connection id="4" xr16:uid="{BA58D2D1-DCEE-4BFA-8293-356D8E0E707C}" name="Query - sales_orders" description="Connection to the 'sales_orders' query in the workbook." type="100" refreshedVersion="8" minRefreshableVersion="5">
    <extLst>
      <ext xmlns:x15="http://schemas.microsoft.com/office/spreadsheetml/2010/11/main" uri="{DE250136-89BD-433C-8126-D09CA5730AF9}">
        <x15:connection id="f61ca0db-c394-4464-8d12-15a10bab4f36">
          <x15:oledbPr connection="Provider=Microsoft.Mashup.OleDb.1;Data Source=$Workbook$;Location=sales_orders;Extended Properties=&quot;&quot;">
            <x15:dbTables>
              <x15:dbTable name="sales_orders"/>
            </x15:dbTables>
          </x15:oledbPr>
        </x15:connection>
      </ext>
    </extLst>
  </connection>
  <connection id="5" xr16:uid="{1D8D73DA-6846-44EF-A96E-DD3DBE6D5572}"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<sst xmlns="http://schemas.openxmlformats.org/spreadsheetml/2006/main" count="39" uniqueCount="28">
  <si>
    <t>Total Orders</t>
  </si>
  <si>
    <t>fulfillment</t>
  </si>
  <si>
    <t>In store</t>
  </si>
  <si>
    <t>Online</t>
  </si>
  <si>
    <t>Total Sales</t>
  </si>
  <si>
    <t>Average Order Value</t>
  </si>
  <si>
    <t>order_month</t>
  </si>
  <si>
    <t>Apr</t>
  </si>
  <si>
    <t>Dec</t>
  </si>
  <si>
    <t>Feb</t>
  </si>
  <si>
    <t>Jan</t>
  </si>
  <si>
    <t>Jun</t>
  </si>
  <si>
    <t>Mar</t>
  </si>
  <si>
    <t>Nov</t>
  </si>
  <si>
    <t>May</t>
  </si>
  <si>
    <t>Jul</t>
  </si>
  <si>
    <t>Aug</t>
  </si>
  <si>
    <t>Sep</t>
  </si>
  <si>
    <t>Oct</t>
  </si>
  <si>
    <t>Total Quantity Purchased</t>
  </si>
  <si>
    <t>1-2</t>
  </si>
  <si>
    <t>3-4</t>
  </si>
  <si>
    <t>5-6</t>
  </si>
  <si>
    <t>7-8</t>
  </si>
  <si>
    <t>num_products</t>
  </si>
  <si>
    <t>order_number</t>
  </si>
  <si>
    <t>Total Products Purchased</t>
  </si>
  <si>
    <t>Total AOV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</si>
</sst>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quot;$&quot;#,##0"/>
  </numFmts>
  <fonts count="1" x14ac:knownFonts="1">
    <font>
      <sz val="11"/>
      <color theme="1"/>
      <name val="Aptos Narrow"/>
      <family val="2"/>
      <scheme val="minor"/>
    </font>
  </fonts>
  <fills count="2">
    <fill>
      <patternFill patternType="none"/>
    </fill>
    <fill>
      <patternFill patternType="gray125"/>
    </fill>
  </fills>
  <borders count="9">
    <border>
      <left/>
      <right/>
      <top/>
      <bottom/>
      <diagonal/>
    </border>
    <border>
      <left style="thick">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ck">
        <color indexed="64"/>
      </left>
      <right style="thin">
        <color indexed="64"/>
      </right>
      <top/>
      <bottom style="thin">
        <color indexed="64"/>
      </bottom>
      <diagonal/>
    </border>
    <border>
      <left style="thin">
        <color indexed="64"/>
      </left>
      <right/>
      <top style="thin">
        <color indexed="64"/>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style="thin">
        <color indexed="64"/>
      </bottom>
      <diagonal/>
    </border>
  </borders>
  <cellStyleXfs count="1">
    <xf numFmtId="0" fontId="0" fillId="0" borderId="0"/>
  </cellStyleXfs>
  <cellXfs count="17">
    <xf numFmtId="0" fontId="0" fillId="0" borderId="0" xfId="0"/>
    <xf numFmtId="0" fontId="0" fillId="0" borderId="0" xfId="0" pivotButton="1"/>
    <xf numFmtId="164" fontId="0" fillId="0" borderId="0" xfId="0" applyNumberFormat="1"/>
    <xf numFmtId="3" fontId="0" fillId="0" borderId="0" xfId="0" applyNumberFormat="1"/>
    <xf numFmtId="165" fontId="0" fillId="0" borderId="0" xfId="0" applyNumberFormat="1"/>
    <xf numFmtId="0" fontId="0" fillId="0" borderId="2" xfId="0" applyBorder="1"/>
    <xf numFmtId="165" fontId="0" fillId="0" borderId="1" xfId="0" applyNumberFormat="1" applyBorder="1"/>
    <xf numFmtId="0" fontId="0" fillId="0" borderId="3" xfId="0" applyBorder="1"/>
    <xf numFmtId="165" fontId="0" fillId="0" borderId="4" xfId="0" applyNumberFormat="1" applyBorder="1"/>
    <xf numFmtId="0" fontId="0" fillId="0" borderId="5" xfId="0" applyBorder="1"/>
    <xf numFmtId="0" fontId="0" fillId="0" borderId="6" xfId="0" applyBorder="1"/>
    <xf numFmtId="0" fontId="0" fillId="0" borderId="0" xfId="0" applyNumberFormat="1"/>
    <xf numFmtId="0" fontId="0" fillId="0" borderId="0" xfId="0" applyAlignment="1">
      <alignment horizontal="left"/>
    </xf>
    <xf numFmtId="164" fontId="0" fillId="0" borderId="8" xfId="0" applyNumberFormat="1" applyBorder="1" applyAlignment="1">
      <alignment horizontal="left"/>
    </xf>
    <xf numFmtId="0" fontId="0" fillId="0" borderId="7" xfId="0" applyBorder="1" applyAlignment="1">
      <alignment horizontal="left"/>
    </xf>
    <xf numFmtId="0" fontId="0" fillId="0" borderId="8" xfId="0" applyBorder="1" applyAlignment="1">
      <alignment horizontal="left"/>
    </xf>
    <xf numFmtId="3" fontId="0" fillId="0" borderId="8" xfId="0" applyNumberFormat="1"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42" Type="http://schemas.openxmlformats.org/officeDocument/2006/relationships/customXml" Target="../customXml/item24.xml"/><Relationship Id="rId47" Type="http://schemas.openxmlformats.org/officeDocument/2006/relationships/customXml" Target="../customXml/item29.xml"/><Relationship Id="rId7" Type="http://schemas.openxmlformats.org/officeDocument/2006/relationships/pivotCacheDefinition" Target="pivotCache/pivotCacheDefinition5.xml"/><Relationship Id="rId2" Type="http://schemas.openxmlformats.org/officeDocument/2006/relationships/worksheet" Target="worksheets/sheet2.xml"/><Relationship Id="rId16" Type="http://schemas.openxmlformats.org/officeDocument/2006/relationships/sheetMetadata" Target="metadata.xml"/><Relationship Id="rId29" Type="http://schemas.openxmlformats.org/officeDocument/2006/relationships/customXml" Target="../customXml/item11.xml"/><Relationship Id="rId11" Type="http://schemas.microsoft.com/office/2007/relationships/slicerCache" Target="slicerCaches/slicerCache2.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40" Type="http://schemas.openxmlformats.org/officeDocument/2006/relationships/customXml" Target="../customXml/item22.xml"/><Relationship Id="rId45" Type="http://schemas.openxmlformats.org/officeDocument/2006/relationships/customXml" Target="../customXml/item27.xml"/><Relationship Id="rId5" Type="http://schemas.openxmlformats.org/officeDocument/2006/relationships/pivotCacheDefinition" Target="pivotCache/pivotCacheDefinition3.xml"/><Relationship Id="rId15" Type="http://schemas.openxmlformats.org/officeDocument/2006/relationships/sharedStrings" Target="sharedString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49" Type="http://schemas.openxmlformats.org/officeDocument/2006/relationships/customXml" Target="../customXml/item31.xml"/><Relationship Id="rId10" Type="http://schemas.microsoft.com/office/2007/relationships/slicerCache" Target="slicerCaches/slicerCache1.xml"/><Relationship Id="rId19" Type="http://schemas.openxmlformats.org/officeDocument/2006/relationships/customXml" Target="../customXml/item1.xml"/><Relationship Id="rId31" Type="http://schemas.openxmlformats.org/officeDocument/2006/relationships/customXml" Target="../customXml/item13.xml"/><Relationship Id="rId44" Type="http://schemas.openxmlformats.org/officeDocument/2006/relationships/customXml" Target="../customXml/item26.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openxmlformats.org/officeDocument/2006/relationships/styles" Target="style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43" Type="http://schemas.openxmlformats.org/officeDocument/2006/relationships/customXml" Target="../customXml/item25.xml"/><Relationship Id="rId48" Type="http://schemas.openxmlformats.org/officeDocument/2006/relationships/customXml" Target="../customXml/item30.xml"/><Relationship Id="rId8" Type="http://schemas.openxmlformats.org/officeDocument/2006/relationships/pivotCacheDefinition" Target="pivotCache/pivotCacheDefinition6.xml"/><Relationship Id="rId3" Type="http://schemas.openxmlformats.org/officeDocument/2006/relationships/pivotCacheDefinition" Target="pivotCache/pivotCacheDefinition1.xml"/><Relationship Id="rId12" Type="http://schemas.openxmlformats.org/officeDocument/2006/relationships/theme" Target="theme/theme1.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 Id="rId46" Type="http://schemas.openxmlformats.org/officeDocument/2006/relationships/customXml" Target="../customXml/item28.xml"/><Relationship Id="rId20" Type="http://schemas.openxmlformats.org/officeDocument/2006/relationships/customXml" Target="../customXml/item2.xml"/><Relationship Id="rId41" Type="http://schemas.openxmlformats.org/officeDocument/2006/relationships/customXml" Target="../customXml/item23.xml"/><Relationship Id="rId1" Type="http://schemas.openxmlformats.org/officeDocument/2006/relationships/worksheet" Target="worksheets/sheet1.xml"/><Relationship Id="rId6" Type="http://schemas.openxmlformats.org/officeDocument/2006/relationships/pivotCacheDefinition" Target="pivotCache/pivotCacheDefinition4.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Tables!ProductsPurchased</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Product Purchasing Distribution</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6274028629856852E-2"/>
              <c:y val="-4.82978890169586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dLbl>
          <c:idx val="0"/>
          <c:layout>
            <c:manualLayout>
              <c:x val="1.6359918200408998E-3"/>
              <c:y val="7.319196500542760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463803680981607E-2"/>
              <c:y val="-5.162706044910260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pivotFmt>
      <c:pivotFmt>
        <c:idx val="6"/>
        <c:spPr>
          <a:solidFill>
            <a:schemeClr val="accent6"/>
          </a:solidFill>
          <a:ln>
            <a:noFill/>
          </a:ln>
          <a:effectLst/>
        </c:spPr>
      </c:pivotFmt>
      <c:pivotFmt>
        <c:idx val="7"/>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8"/>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9"/>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 Tables'!$C$20</c:f>
              <c:strCache>
                <c:ptCount val="1"/>
                <c:pt idx="0">
                  <c:v>Total Sales</c:v>
                </c:pt>
              </c:strCache>
            </c:strRef>
          </c:tx>
          <c:spPr>
            <a:solidFill>
              <a:schemeClr val="accent6"/>
            </a:solidFill>
            <a:ln>
              <a:noFill/>
            </a:ln>
            <a:effectLst/>
          </c:spPr>
          <c:invertIfNegative val="0"/>
          <c:cat>
            <c:strRef>
              <c:f>'Pivot Tables'!$A$21:$A$24</c:f>
              <c:strCache>
                <c:ptCount val="4"/>
                <c:pt idx="0">
                  <c:v>1-2</c:v>
                </c:pt>
                <c:pt idx="1">
                  <c:v>3-4</c:v>
                </c:pt>
                <c:pt idx="2">
                  <c:v>5-6</c:v>
                </c:pt>
                <c:pt idx="3">
                  <c:v>7-8</c:v>
                </c:pt>
              </c:strCache>
            </c:strRef>
          </c:cat>
          <c:val>
            <c:numRef>
              <c:f>'Pivot Tables'!$C$21:$C$24</c:f>
              <c:numCache>
                <c:formatCode>\$#,##0;\(\$#,##0\);\$#,##0</c:formatCode>
                <c:ptCount val="4"/>
                <c:pt idx="0">
                  <c:v>80252.409999999989</c:v>
                </c:pt>
                <c:pt idx="1">
                  <c:v>62223.249999999978</c:v>
                </c:pt>
                <c:pt idx="2">
                  <c:v>18109.929999999997</c:v>
                </c:pt>
                <c:pt idx="3">
                  <c:v>22946.6</c:v>
                </c:pt>
              </c:numCache>
            </c:numRef>
          </c:val>
          <c:extLst>
            <c:ext xmlns:c16="http://schemas.microsoft.com/office/drawing/2014/chart" uri="{C3380CC4-5D6E-409C-BE32-E72D297353CC}">
              <c16:uniqueId val="{00000002-437F-4697-8E83-5C87E06A35C4}"/>
            </c:ext>
          </c:extLst>
        </c:ser>
        <c:dLbls>
          <c:showLegendKey val="0"/>
          <c:showVal val="0"/>
          <c:showCatName val="0"/>
          <c:showSerName val="0"/>
          <c:showPercent val="0"/>
          <c:showBubbleSize val="0"/>
        </c:dLbls>
        <c:gapWidth val="219"/>
        <c:axId val="1990157775"/>
        <c:axId val="1990152975"/>
      </c:barChart>
      <c:lineChart>
        <c:grouping val="stacked"/>
        <c:varyColors val="0"/>
        <c:ser>
          <c:idx val="0"/>
          <c:order val="0"/>
          <c:tx>
            <c:strRef>
              <c:f>'Pivot Tables'!$B$20</c:f>
              <c:strCache>
                <c:ptCount val="1"/>
                <c:pt idx="0">
                  <c:v>Total Quantity Purchased</c:v>
                </c:pt>
              </c:strCache>
            </c:strRef>
          </c:tx>
          <c:spPr>
            <a:ln w="28575" cap="rnd">
              <a:noFill/>
              <a:round/>
            </a:ln>
            <a:effectLst/>
          </c:spPr>
          <c:marker>
            <c:symbol val="circle"/>
            <c:size val="11"/>
            <c:spPr>
              <a:solidFill>
                <a:schemeClr val="accent1"/>
              </a:solidFill>
              <a:ln w="9525">
                <a:solidFill>
                  <a:schemeClr val="accent1"/>
                </a:solidFill>
              </a:ln>
              <a:effectLst/>
            </c:spPr>
          </c:marker>
          <c:cat>
            <c:strRef>
              <c:f>'Pivot Tables'!$A$21:$A$24</c:f>
              <c:strCache>
                <c:ptCount val="4"/>
                <c:pt idx="0">
                  <c:v>1-2</c:v>
                </c:pt>
                <c:pt idx="1">
                  <c:v>3-4</c:v>
                </c:pt>
                <c:pt idx="2">
                  <c:v>5-6</c:v>
                </c:pt>
                <c:pt idx="3">
                  <c:v>7-8</c:v>
                </c:pt>
              </c:strCache>
            </c:strRef>
          </c:cat>
          <c:val>
            <c:numRef>
              <c:f>'Pivot Tables'!$B$21:$B$24</c:f>
              <c:numCache>
                <c:formatCode>General</c:formatCode>
                <c:ptCount val="4"/>
                <c:pt idx="0">
                  <c:v>252</c:v>
                </c:pt>
                <c:pt idx="1">
                  <c:v>297</c:v>
                </c:pt>
                <c:pt idx="2">
                  <c:v>36</c:v>
                </c:pt>
                <c:pt idx="3">
                  <c:v>54</c:v>
                </c:pt>
              </c:numCache>
            </c:numRef>
          </c:val>
          <c:smooth val="0"/>
          <c:extLst>
            <c:ext xmlns:c16="http://schemas.microsoft.com/office/drawing/2014/chart" uri="{C3380CC4-5D6E-409C-BE32-E72D297353CC}">
              <c16:uniqueId val="{00000000-437F-4697-8E83-5C87E06A35C4}"/>
            </c:ext>
          </c:extLst>
        </c:ser>
        <c:dLbls>
          <c:showLegendKey val="0"/>
          <c:showVal val="0"/>
          <c:showCatName val="0"/>
          <c:showSerName val="0"/>
          <c:showPercent val="0"/>
          <c:showBubbleSize val="0"/>
        </c:dLbls>
        <c:marker val="1"/>
        <c:smooth val="0"/>
        <c:axId val="1743191232"/>
        <c:axId val="1743207552"/>
      </c:lineChart>
      <c:catAx>
        <c:axId val="1990157775"/>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a:t>Total Products Purchased</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2975"/>
        <c:crosses val="autoZero"/>
        <c:auto val="1"/>
        <c:lblAlgn val="ctr"/>
        <c:lblOffset val="100"/>
        <c:noMultiLvlLbl val="0"/>
      </c:catAx>
      <c:valAx>
        <c:axId val="1990152975"/>
        <c:scaling>
          <c:orientation val="minMax"/>
          <c:max val="90000"/>
        </c:scaling>
        <c:delete val="0"/>
        <c:axPos val="l"/>
        <c:majorGridlines>
          <c:spPr>
            <a:ln w="9525" cap="flat" cmpd="sng" algn="ctr">
              <a:solidFill>
                <a:schemeClr val="tx1">
                  <a:lumMod val="15000"/>
                  <a:lumOff val="85000"/>
                </a:schemeClr>
              </a:solidFill>
              <a:round/>
            </a:ln>
            <a:effectLst/>
          </c:spPr>
        </c:majorGridlines>
        <c:numFmt formatCode="[=0]&quot;$&quot;#,##0;&quot;$&quot;#,##0,&quot; K&quot;"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7775"/>
        <c:crosses val="autoZero"/>
        <c:crossBetween val="between"/>
      </c:valAx>
      <c:valAx>
        <c:axId val="1743207552"/>
        <c:scaling>
          <c:orientation val="minMax"/>
          <c:max val="360"/>
          <c:min val="0"/>
        </c:scaling>
        <c:delete val="0"/>
        <c:axPos val="r"/>
        <c:numFmt formatCode="General"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191232"/>
        <c:crosses val="max"/>
        <c:crossBetween val="between"/>
        <c:majorUnit val="40"/>
      </c:valAx>
      <c:catAx>
        <c:axId val="1743191232"/>
        <c:scaling>
          <c:orientation val="minMax"/>
        </c:scaling>
        <c:delete val="1"/>
        <c:axPos val="b"/>
        <c:numFmt formatCode="General" sourceLinked="1"/>
        <c:majorTickMark val="out"/>
        <c:minorTickMark val="none"/>
        <c:tickLblPos val="nextTo"/>
        <c:crossAx val="1743207552"/>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Tables!Orders</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Top</a:t>
            </a:r>
            <a:r>
              <a:rPr lang="en-US" baseline="0">
                <a:solidFill>
                  <a:sysClr val="windowText" lastClr="000000"/>
                </a:solidFill>
              </a:rPr>
              <a:t> 5 Orders</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6274028629856852E-2"/>
              <c:y val="-4.82978890169586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dLbl>
          <c:idx val="0"/>
          <c:layout>
            <c:manualLayout>
              <c:x val="1.6359918200408998E-3"/>
              <c:y val="7.319196500542760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463803680981607E-2"/>
              <c:y val="-5.162706044910260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pivotFmt>
      <c:pivotFmt>
        <c:idx val="6"/>
        <c:spPr>
          <a:solidFill>
            <a:schemeClr val="accent6"/>
          </a:solidFill>
          <a:ln>
            <a:noFill/>
          </a:ln>
          <a:effectLst/>
        </c:spPr>
      </c:pivotFmt>
      <c:pivotFmt>
        <c:idx val="7"/>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8"/>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9"/>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 Tables'!$C$13</c:f>
              <c:strCache>
                <c:ptCount val="1"/>
                <c:pt idx="0">
                  <c:v>Total Sales</c:v>
                </c:pt>
              </c:strCache>
            </c:strRef>
          </c:tx>
          <c:spPr>
            <a:solidFill>
              <a:schemeClr val="accent6"/>
            </a:solidFill>
            <a:ln>
              <a:noFill/>
            </a:ln>
            <a:effectLst/>
          </c:spPr>
          <c:invertIfNegative val="0"/>
          <c:cat>
            <c:strRef>
              <c:f>'Pivot Tables'!$A$14:$A$18</c:f>
              <c:strCache>
                <c:ptCount val="5"/>
                <c:pt idx="0">
                  <c:v>1371011</c:v>
                </c:pt>
                <c:pt idx="1">
                  <c:v>1599043</c:v>
                </c:pt>
                <c:pt idx="2">
                  <c:v>1885025</c:v>
                </c:pt>
                <c:pt idx="3">
                  <c:v>1812007</c:v>
                </c:pt>
                <c:pt idx="4">
                  <c:v>1321003</c:v>
                </c:pt>
              </c:strCache>
            </c:strRef>
          </c:cat>
          <c:val>
            <c:numRef>
              <c:f>'Pivot Tables'!$C$14:$C$18</c:f>
              <c:numCache>
                <c:formatCode>\$#,##0;\(\$#,##0\);\$#,##0</c:formatCode>
                <c:ptCount val="5"/>
                <c:pt idx="0">
                  <c:v>18600.5</c:v>
                </c:pt>
                <c:pt idx="1">
                  <c:v>14432.88</c:v>
                </c:pt>
                <c:pt idx="2">
                  <c:v>9713.7199999999993</c:v>
                </c:pt>
                <c:pt idx="3">
                  <c:v>7291.6</c:v>
                </c:pt>
                <c:pt idx="4">
                  <c:v>6275.4</c:v>
                </c:pt>
              </c:numCache>
            </c:numRef>
          </c:val>
          <c:extLst>
            <c:ext xmlns:c16="http://schemas.microsoft.com/office/drawing/2014/chart" uri="{C3380CC4-5D6E-409C-BE32-E72D297353CC}">
              <c16:uniqueId val="{00000000-1254-4D95-B244-92E646308270}"/>
            </c:ext>
          </c:extLst>
        </c:ser>
        <c:dLbls>
          <c:showLegendKey val="0"/>
          <c:showVal val="0"/>
          <c:showCatName val="0"/>
          <c:showSerName val="0"/>
          <c:showPercent val="0"/>
          <c:showBubbleSize val="0"/>
        </c:dLbls>
        <c:gapWidth val="219"/>
        <c:axId val="1990157775"/>
        <c:axId val="1990152975"/>
      </c:barChart>
      <c:lineChart>
        <c:grouping val="stacked"/>
        <c:varyColors val="0"/>
        <c:ser>
          <c:idx val="0"/>
          <c:order val="0"/>
          <c:tx>
            <c:strRef>
              <c:f>'Pivot Tables'!$B$13</c:f>
              <c:strCache>
                <c:ptCount val="1"/>
                <c:pt idx="0">
                  <c:v>Total Products Purchased</c:v>
                </c:pt>
              </c:strCache>
            </c:strRef>
          </c:tx>
          <c:spPr>
            <a:ln w="28575" cap="rnd">
              <a:noFill/>
              <a:round/>
            </a:ln>
            <a:effectLst/>
          </c:spPr>
          <c:marker>
            <c:symbol val="circle"/>
            <c:size val="11"/>
            <c:spPr>
              <a:solidFill>
                <a:schemeClr val="accent1"/>
              </a:solidFill>
              <a:ln w="9525">
                <a:solidFill>
                  <a:schemeClr val="accent1"/>
                </a:solidFill>
              </a:ln>
              <a:effectLst/>
            </c:spPr>
          </c:marker>
          <c:cat>
            <c:strRef>
              <c:f>'Pivot Tables'!$A$14:$A$18</c:f>
              <c:strCache>
                <c:ptCount val="5"/>
                <c:pt idx="0">
                  <c:v>1371011</c:v>
                </c:pt>
                <c:pt idx="1">
                  <c:v>1599043</c:v>
                </c:pt>
                <c:pt idx="2">
                  <c:v>1885025</c:v>
                </c:pt>
                <c:pt idx="3">
                  <c:v>1812007</c:v>
                </c:pt>
                <c:pt idx="4">
                  <c:v>1321003</c:v>
                </c:pt>
              </c:strCache>
            </c:strRef>
          </c:cat>
          <c:val>
            <c:numRef>
              <c:f>'Pivot Tables'!$B$14:$B$18</c:f>
              <c:numCache>
                <c:formatCode>General</c:formatCode>
                <c:ptCount val="5"/>
                <c:pt idx="0">
                  <c:v>7</c:v>
                </c:pt>
                <c:pt idx="1">
                  <c:v>5</c:v>
                </c:pt>
                <c:pt idx="2">
                  <c:v>2</c:v>
                </c:pt>
                <c:pt idx="3">
                  <c:v>2</c:v>
                </c:pt>
                <c:pt idx="4">
                  <c:v>3</c:v>
                </c:pt>
              </c:numCache>
            </c:numRef>
          </c:val>
          <c:smooth val="0"/>
          <c:extLst>
            <c:ext xmlns:c16="http://schemas.microsoft.com/office/drawing/2014/chart" uri="{C3380CC4-5D6E-409C-BE32-E72D297353CC}">
              <c16:uniqueId val="{00000001-1254-4D95-B244-92E646308270}"/>
            </c:ext>
          </c:extLst>
        </c:ser>
        <c:dLbls>
          <c:showLegendKey val="0"/>
          <c:showVal val="0"/>
          <c:showCatName val="0"/>
          <c:showSerName val="0"/>
          <c:showPercent val="0"/>
          <c:showBubbleSize val="0"/>
        </c:dLbls>
        <c:marker val="1"/>
        <c:smooth val="0"/>
        <c:axId val="1743191232"/>
        <c:axId val="1743207552"/>
      </c:lineChart>
      <c:catAx>
        <c:axId val="1990157775"/>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a:t>Order</a:t>
                </a:r>
                <a:r>
                  <a:rPr lang="en-US" baseline="0"/>
                  <a:t> Number</a:t>
                </a:r>
                <a:endParaRPr lang="en-US"/>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2975"/>
        <c:crosses val="autoZero"/>
        <c:auto val="1"/>
        <c:lblAlgn val="ctr"/>
        <c:lblOffset val="100"/>
        <c:noMultiLvlLbl val="0"/>
      </c:catAx>
      <c:valAx>
        <c:axId val="1990152975"/>
        <c:scaling>
          <c:orientation val="minMax"/>
          <c:max val="20000"/>
        </c:scaling>
        <c:delete val="0"/>
        <c:axPos val="l"/>
        <c:majorGridlines>
          <c:spPr>
            <a:ln w="9525" cap="flat" cmpd="sng" algn="ctr">
              <a:solidFill>
                <a:schemeClr val="tx1">
                  <a:lumMod val="15000"/>
                  <a:lumOff val="85000"/>
                </a:schemeClr>
              </a:solidFill>
              <a:round/>
            </a:ln>
            <a:effectLst/>
          </c:spPr>
        </c:majorGridlines>
        <c:numFmt formatCode="[=0]&quot;$&quot;#,##0;&quot;$&quot;#,##0,&quot; K&quot;"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7775"/>
        <c:crosses val="autoZero"/>
        <c:crossBetween val="between"/>
        <c:majorUnit val="2000"/>
      </c:valAx>
      <c:valAx>
        <c:axId val="1743207552"/>
        <c:scaling>
          <c:orientation val="minMax"/>
          <c:max val="10"/>
        </c:scaling>
        <c:delete val="0"/>
        <c:axPos val="r"/>
        <c:numFmt formatCode="General"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191232"/>
        <c:crosses val="max"/>
        <c:crossBetween val="between"/>
        <c:majorUnit val="1"/>
      </c:valAx>
      <c:catAx>
        <c:axId val="1743191232"/>
        <c:scaling>
          <c:orientation val="minMax"/>
        </c:scaling>
        <c:delete val="1"/>
        <c:axPos val="b"/>
        <c:numFmt formatCode="General" sourceLinked="1"/>
        <c:majorTickMark val="out"/>
        <c:minorTickMark val="none"/>
        <c:tickLblPos val="nextTo"/>
        <c:crossAx val="1743207552"/>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Tables!FulfillmentsTotalSales</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Share of Total Sales</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s>
    <c:plotArea>
      <c:layout/>
      <c:pieChart>
        <c:varyColors val="1"/>
        <c:ser>
          <c:idx val="0"/>
          <c:order val="0"/>
          <c:tx>
            <c:strRef>
              <c:f>'Pivot Tables'!$B$1</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1-5A34-4C36-B108-ABC278728701}"/>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3-5A34-4C36-B108-ABC27872870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Tables'!$A$2:$A$3</c:f>
              <c:strCache>
                <c:ptCount val="2"/>
                <c:pt idx="0">
                  <c:v>In store</c:v>
                </c:pt>
                <c:pt idx="1">
                  <c:v>Online</c:v>
                </c:pt>
              </c:strCache>
            </c:strRef>
          </c:cat>
          <c:val>
            <c:numRef>
              <c:f>'Pivot Tables'!$B$2:$B$3</c:f>
              <c:numCache>
                <c:formatCode>\$#,##0;\(\$#,##0\);\$#,##0</c:formatCode>
                <c:ptCount val="2"/>
                <c:pt idx="0">
                  <c:v>183532.19000000009</c:v>
                </c:pt>
                <c:pt idx="1">
                  <c:v>18238.98</c:v>
                </c:pt>
              </c:numCache>
            </c:numRef>
          </c:val>
          <c:extLst>
            <c:ext xmlns:c16="http://schemas.microsoft.com/office/drawing/2014/chart" uri="{C3380CC4-5D6E-409C-BE32-E72D297353CC}">
              <c16:uniqueId val="{00000004-5A34-4C36-B108-ABC278728701}"/>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Tables!FulfillmentsTotalOrders</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Share of Total Orders</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s>
    <c:plotArea>
      <c:layout/>
      <c:pieChart>
        <c:varyColors val="1"/>
        <c:ser>
          <c:idx val="0"/>
          <c:order val="0"/>
          <c:tx>
            <c:strRef>
              <c:f>'Pivot Tables'!$B$5</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1-82E3-40A7-BBFA-16F5BB9B9D6D}"/>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3-82E3-40A7-BBFA-16F5BB9B9D6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Tables'!$A$6:$A$7</c:f>
              <c:strCache>
                <c:ptCount val="2"/>
                <c:pt idx="0">
                  <c:v>In store</c:v>
                </c:pt>
                <c:pt idx="1">
                  <c:v>Online</c:v>
                </c:pt>
              </c:strCache>
            </c:strRef>
          </c:cat>
          <c:val>
            <c:numRef>
              <c:f>'Pivot Tables'!$B$6:$B$7</c:f>
              <c:numCache>
                <c:formatCode>General</c:formatCode>
                <c:ptCount val="2"/>
                <c:pt idx="0">
                  <c:v>83</c:v>
                </c:pt>
                <c:pt idx="1">
                  <c:v>17</c:v>
                </c:pt>
              </c:numCache>
            </c:numRef>
          </c:val>
          <c:extLst>
            <c:ext xmlns:c16="http://schemas.microsoft.com/office/drawing/2014/chart" uri="{C3380CC4-5D6E-409C-BE32-E72D297353CC}">
              <c16:uniqueId val="{00000004-82E3-40A7-BBFA-16F5BB9B9D6D}"/>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Tables!FulfillmentsAOV</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Share of AOV</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s>
    <c:plotArea>
      <c:layout/>
      <c:pieChart>
        <c:varyColors val="1"/>
        <c:ser>
          <c:idx val="0"/>
          <c:order val="0"/>
          <c:tx>
            <c:strRef>
              <c:f>'Pivot Tables'!$B$9</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1-2C12-40FD-A4A7-2BA4D3D12FF4}"/>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3-2C12-40FD-A4A7-2BA4D3D12FF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Tables'!$A$10:$A$11</c:f>
              <c:strCache>
                <c:ptCount val="2"/>
                <c:pt idx="0">
                  <c:v>In store</c:v>
                </c:pt>
                <c:pt idx="1">
                  <c:v>Online</c:v>
                </c:pt>
              </c:strCache>
            </c:strRef>
          </c:cat>
          <c:val>
            <c:numRef>
              <c:f>'Pivot Tables'!$B$10:$B$11</c:f>
              <c:numCache>
                <c:formatCode>#,##0</c:formatCode>
                <c:ptCount val="2"/>
                <c:pt idx="0">
                  <c:v>2211.231204819278</c:v>
                </c:pt>
                <c:pt idx="1">
                  <c:v>1072.8811764705881</c:v>
                </c:pt>
              </c:numCache>
            </c:numRef>
          </c:val>
          <c:extLst>
            <c:ext xmlns:c16="http://schemas.microsoft.com/office/drawing/2014/chart" uri="{C3380CC4-5D6E-409C-BE32-E72D297353CC}">
              <c16:uniqueId val="{00000004-2C12-40FD-A4A7-2BA4D3D12FF4}"/>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MoM Revenue Growth</cx:v>
        </cx:txData>
      </cx:tx>
      <cx:txPr>
        <a:bodyPr spcFirstLastPara="1" vertOverflow="ellipsis" horzOverflow="overflow" wrap="square" lIns="0" tIns="0" rIns="0" bIns="0" anchor="ctr" anchorCtr="1"/>
        <a:lstStyle/>
        <a:p>
          <a:pPr algn="ctr" rtl="0">
            <a:defRPr b="1">
              <a:solidFill>
                <a:sysClr val="windowText" lastClr="000000"/>
              </a:solidFill>
            </a:defRPr>
          </a:pPr>
          <a:r>
            <a:rPr lang="en-US" sz="1400" b="1" i="0" u="none" strike="noStrike" baseline="0">
              <a:solidFill>
                <a:sysClr val="windowText" lastClr="000000"/>
              </a:solidFill>
              <a:latin typeface="Aptos Narrow" panose="02110004020202020204"/>
            </a:rPr>
            <a:t>MoM Revenue Growth</a:t>
          </a:r>
        </a:p>
      </cx:txPr>
    </cx:title>
    <cx:plotArea>
      <cx:plotAreaRegion>
        <cx:series layoutId="waterfall" uniqueId="{AA4C929E-B52B-48D8-9899-277A3B6B3E05}">
          <cx:tx>
            <cx:txData>
              <cx:f>_xlchart.v1.1</cx:f>
              <cx:v>Total Sales</cx:v>
            </cx:txData>
          </cx:tx>
          <cx:spPr>
            <a:solidFill>
              <a:schemeClr val="accent6"/>
            </a:solidFill>
          </cx:spPr>
          <cx:dataId val="0"/>
          <cx:layoutPr>
            <cx:subtotals/>
          </cx:layoutPr>
        </cx:series>
      </cx:plotAreaRegion>
      <cx:axis id="0">
        <cx:catScaling gapWidth="0.5"/>
        <cx:majorTickMarks type="out"/>
        <cx:tickLabels/>
      </cx:axis>
      <cx:axis id="1">
        <cx:valScaling/>
        <cx:majorGridlines/>
        <cx:majorTickMarks type="out"/>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svg"/><Relationship Id="rId3" Type="http://schemas.microsoft.com/office/2014/relationships/chartEx" Target="../charts/chartEx1.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180975</xdr:colOff>
      <xdr:row>2</xdr:row>
      <xdr:rowOff>57149</xdr:rowOff>
    </xdr:from>
    <xdr:to>
      <xdr:col>24</xdr:col>
      <xdr:colOff>552450</xdr:colOff>
      <xdr:row>40</xdr:row>
      <xdr:rowOff>66675</xdr:rowOff>
    </xdr:to>
    <xdr:grpSp>
      <xdr:nvGrpSpPr>
        <xdr:cNvPr id="30" name="Group 29">
          <a:extLst>
            <a:ext uri="{FF2B5EF4-FFF2-40B4-BE49-F238E27FC236}">
              <a16:creationId xmlns:a16="http://schemas.microsoft.com/office/drawing/2014/main" id="{C035D027-AF92-3C00-1680-1DD92EDCE672}"/>
            </a:ext>
          </a:extLst>
        </xdr:cNvPr>
        <xdr:cNvGrpSpPr/>
      </xdr:nvGrpSpPr>
      <xdr:grpSpPr>
        <a:xfrm>
          <a:off x="180975" y="438149"/>
          <a:ext cx="15001875" cy="7248526"/>
          <a:chOff x="180975" y="438149"/>
          <a:chExt cx="15001875" cy="7248526"/>
        </a:xfrm>
      </xdr:grpSpPr>
      <xdr:grpSp>
        <xdr:nvGrpSpPr>
          <xdr:cNvPr id="26" name="Group 25">
            <a:extLst>
              <a:ext uri="{FF2B5EF4-FFF2-40B4-BE49-F238E27FC236}">
                <a16:creationId xmlns:a16="http://schemas.microsoft.com/office/drawing/2014/main" id="{D641332C-DD68-D1E6-0058-76CD47394DF0}"/>
              </a:ext>
            </a:extLst>
          </xdr:cNvPr>
          <xdr:cNvGrpSpPr/>
        </xdr:nvGrpSpPr>
        <xdr:grpSpPr>
          <a:xfrm>
            <a:off x="180975" y="438149"/>
            <a:ext cx="15001875" cy="7248526"/>
            <a:chOff x="180975" y="466724"/>
            <a:chExt cx="15001875" cy="7248526"/>
          </a:xfrm>
        </xdr:grpSpPr>
        <xdr:grpSp>
          <xdr:nvGrpSpPr>
            <xdr:cNvPr id="15" name="Group 14">
              <a:extLst>
                <a:ext uri="{FF2B5EF4-FFF2-40B4-BE49-F238E27FC236}">
                  <a16:creationId xmlns:a16="http://schemas.microsoft.com/office/drawing/2014/main" id="{6ECF5D6C-18A6-C4F3-0991-FDAF1674E840}"/>
                </a:ext>
              </a:extLst>
            </xdr:cNvPr>
            <xdr:cNvGrpSpPr/>
          </xdr:nvGrpSpPr>
          <xdr:grpSpPr>
            <a:xfrm>
              <a:off x="180975" y="542925"/>
              <a:ext cx="15001875" cy="7172325"/>
              <a:chOff x="142875" y="600075"/>
              <a:chExt cx="15001875" cy="7172325"/>
            </a:xfrm>
          </xdr:grpSpPr>
          <xdr:grpSp>
            <xdr:nvGrpSpPr>
              <xdr:cNvPr id="13" name="Group 12">
                <a:extLst>
                  <a:ext uri="{FF2B5EF4-FFF2-40B4-BE49-F238E27FC236}">
                    <a16:creationId xmlns:a16="http://schemas.microsoft.com/office/drawing/2014/main" id="{8B48D871-0CC1-89AC-6129-6B2EE9488B5D}"/>
                  </a:ext>
                </a:extLst>
              </xdr:cNvPr>
              <xdr:cNvGrpSpPr/>
            </xdr:nvGrpSpPr>
            <xdr:grpSpPr>
              <a:xfrm>
                <a:off x="142875" y="600075"/>
                <a:ext cx="15001875" cy="7172325"/>
                <a:chOff x="152400" y="276225"/>
                <a:chExt cx="15001875" cy="7172325"/>
              </a:xfrm>
            </xdr:grpSpPr>
            <xdr:graphicFrame macro="">
              <xdr:nvGraphicFramePr>
                <xdr:cNvPr id="2" name="Chart 1">
                  <a:extLst>
                    <a:ext uri="{FF2B5EF4-FFF2-40B4-BE49-F238E27FC236}">
                      <a16:creationId xmlns:a16="http://schemas.microsoft.com/office/drawing/2014/main" id="{1EA7605C-29BD-46B9-81ED-B096028EBA22}"/>
                    </a:ext>
                  </a:extLst>
                </xdr:cNvPr>
                <xdr:cNvGraphicFramePr>
                  <a:graphicFrameLocks/>
                </xdr:cNvGraphicFramePr>
              </xdr:nvGraphicFramePr>
              <xdr:xfrm>
                <a:off x="5095876" y="1143000"/>
                <a:ext cx="4457699" cy="3519488"/>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 name="Chart 2">
                  <a:extLst>
                    <a:ext uri="{FF2B5EF4-FFF2-40B4-BE49-F238E27FC236}">
                      <a16:creationId xmlns:a16="http://schemas.microsoft.com/office/drawing/2014/main" id="{FFDD6468-1AD2-4D8B-BC03-BEDE63037D56}"/>
                    </a:ext>
                  </a:extLst>
                </xdr:cNvPr>
                <xdr:cNvGraphicFramePr>
                  <a:graphicFrameLocks/>
                </xdr:cNvGraphicFramePr>
              </xdr:nvGraphicFramePr>
              <xdr:xfrm>
                <a:off x="152400" y="1152525"/>
                <a:ext cx="4657725" cy="3529013"/>
              </xdr:xfrm>
              <a:graphic>
                <a:graphicData uri="http://schemas.openxmlformats.org/drawingml/2006/chart">
                  <c:chart xmlns:c="http://schemas.openxmlformats.org/drawingml/2006/chart" xmlns:r="http://schemas.openxmlformats.org/officeDocument/2006/relationships" r:id="rId2"/>
                </a:graphicData>
              </a:graphic>
            </xdr:graphicFrame>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90D760BC-A29B-4480-A066-B9863C68F673}"/>
                        </a:ext>
                      </a:extLst>
                    </xdr:cNvPr>
                    <xdr:cNvGraphicFramePr/>
                  </xdr:nvGraphicFramePr>
                  <xdr:xfrm>
                    <a:off x="9867899" y="1304925"/>
                    <a:ext cx="4381501" cy="3105151"/>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867899" y="1304925"/>
                      <a:ext cx="4381501" cy="310515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mc:AlternateContent xmlns:mc="http://schemas.openxmlformats.org/markup-compatibility/2006">
              <mc:Choice xmlns:a14="http://schemas.microsoft.com/office/drawing/2010/main" Requires="a14">
                <xdr:graphicFrame macro="">
                  <xdr:nvGraphicFramePr>
                    <xdr:cNvPr id="5" name="Revenue Year">
                      <a:extLst>
                        <a:ext uri="{FF2B5EF4-FFF2-40B4-BE49-F238E27FC236}">
                          <a16:creationId xmlns:a16="http://schemas.microsoft.com/office/drawing/2014/main" id="{E7E2A156-F12D-4888-825A-58E9F5BE825B}"/>
                        </a:ext>
                      </a:extLst>
                    </xdr:cNvPr>
                    <xdr:cNvGraphicFramePr/>
                  </xdr:nvGraphicFramePr>
                  <xdr:xfrm>
                    <a:off x="9858374" y="295275"/>
                    <a:ext cx="3114676" cy="714376"/>
                  </xdr:xfrm>
                  <a:graphic>
                    <a:graphicData uri="http://schemas.microsoft.com/office/drawing/2010/slicer">
                      <sle:slicer xmlns:sle="http://schemas.microsoft.com/office/drawing/2010/slicer" name="Revenue Year"/>
                    </a:graphicData>
                  </a:graphic>
                </xdr:graphicFrame>
              </mc:Choice>
              <mc:Fallback>
                <xdr:sp macro="" textlink="">
                  <xdr:nvSpPr>
                    <xdr:cNvPr id="0" name=""/>
                    <xdr:cNvSpPr>
                      <a:spLocks noTextEdit="1"/>
                    </xdr:cNvSpPr>
                  </xdr:nvSpPr>
                  <xdr:spPr>
                    <a:xfrm>
                      <a:off x="9886949" y="533400"/>
                      <a:ext cx="3114676" cy="7143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6" name="Chart 5">
                  <a:extLst>
                    <a:ext uri="{FF2B5EF4-FFF2-40B4-BE49-F238E27FC236}">
                      <a16:creationId xmlns:a16="http://schemas.microsoft.com/office/drawing/2014/main" id="{AC74D6CA-D313-4D27-9585-79BB7C64C1FE}"/>
                    </a:ext>
                  </a:extLst>
                </xdr:cNvPr>
                <xdr:cNvGraphicFramePr>
                  <a:graphicFrameLocks/>
                </xdr:cNvGraphicFramePr>
              </xdr:nvGraphicFramePr>
              <xdr:xfrm>
                <a:off x="695326" y="4705350"/>
                <a:ext cx="3819524" cy="2743200"/>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7" name="Chart 6">
                  <a:extLst>
                    <a:ext uri="{FF2B5EF4-FFF2-40B4-BE49-F238E27FC236}">
                      <a16:creationId xmlns:a16="http://schemas.microsoft.com/office/drawing/2014/main" id="{22E9A4A0-351B-478D-8CD1-928FF04BF950}"/>
                    </a:ext>
                  </a:extLst>
                </xdr:cNvPr>
                <xdr:cNvGraphicFramePr>
                  <a:graphicFrameLocks/>
                </xdr:cNvGraphicFramePr>
              </xdr:nvGraphicFramePr>
              <xdr:xfrm>
                <a:off x="5276850" y="4648200"/>
                <a:ext cx="3838575" cy="2790825"/>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8" name="Chart 7">
                  <a:extLst>
                    <a:ext uri="{FF2B5EF4-FFF2-40B4-BE49-F238E27FC236}">
                      <a16:creationId xmlns:a16="http://schemas.microsoft.com/office/drawing/2014/main" id="{86B10E62-B5AB-442E-A3BE-BFBADCAFE800}"/>
                    </a:ext>
                  </a:extLst>
                </xdr:cNvPr>
                <xdr:cNvGraphicFramePr>
                  <a:graphicFrameLocks/>
                </xdr:cNvGraphicFramePr>
              </xdr:nvGraphicFramePr>
              <xdr:xfrm>
                <a:off x="9886949" y="4648200"/>
                <a:ext cx="4124326" cy="2781300"/>
              </xdr:xfrm>
              <a:graphic>
                <a:graphicData uri="http://schemas.openxmlformats.org/drawingml/2006/chart">
                  <c:chart xmlns:c="http://schemas.openxmlformats.org/drawingml/2006/chart" xmlns:r="http://schemas.openxmlformats.org/officeDocument/2006/relationships" r:id="rId6"/>
                </a:graphicData>
              </a:graphic>
            </xdr:graphicFrame>
            <xdr:grpSp>
              <xdr:nvGrpSpPr>
                <xdr:cNvPr id="12" name="Group 11">
                  <a:extLst>
                    <a:ext uri="{FF2B5EF4-FFF2-40B4-BE49-F238E27FC236}">
                      <a16:creationId xmlns:a16="http://schemas.microsoft.com/office/drawing/2014/main" id="{2E914752-265D-5625-7AF1-1C8202764A45}"/>
                    </a:ext>
                  </a:extLst>
                </xdr:cNvPr>
                <xdr:cNvGrpSpPr/>
              </xdr:nvGrpSpPr>
              <xdr:grpSpPr>
                <a:xfrm>
                  <a:off x="13249275" y="276225"/>
                  <a:ext cx="1905000" cy="828675"/>
                  <a:chOff x="13239750" y="847725"/>
                  <a:chExt cx="1905000" cy="828675"/>
                </a:xfrm>
              </xdr:grpSpPr>
              <xdr:sp macro="" textlink="">
                <xdr:nvSpPr>
                  <xdr:cNvPr id="9" name="TextBox 8">
                    <a:extLst>
                      <a:ext uri="{FF2B5EF4-FFF2-40B4-BE49-F238E27FC236}">
                        <a16:creationId xmlns:a16="http://schemas.microsoft.com/office/drawing/2014/main" id="{52BD431B-B146-D109-C194-8CFA54584B13}"/>
                      </a:ext>
                    </a:extLst>
                  </xdr:cNvPr>
                  <xdr:cNvSpPr txBox="1"/>
                </xdr:nvSpPr>
                <xdr:spPr>
                  <a:xfrm>
                    <a:off x="13992225" y="847725"/>
                    <a:ext cx="1152525" cy="828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accent2"/>
                        </a:solidFill>
                      </a:rPr>
                      <a:t>Zero</a:t>
                    </a:r>
                    <a:r>
                      <a:rPr lang="en-US" sz="1100" b="1" baseline="0">
                        <a:solidFill>
                          <a:schemeClr val="accent2"/>
                        </a:solidFill>
                      </a:rPr>
                      <a:t>  values indicate revenue that was not reported.</a:t>
                    </a:r>
                    <a:endParaRPr lang="en-US" sz="1100" b="1">
                      <a:solidFill>
                        <a:schemeClr val="accent2"/>
                      </a:solidFill>
                    </a:endParaRPr>
                  </a:p>
                </xdr:txBody>
              </xdr:sp>
              <xdr:pic>
                <xdr:nvPicPr>
                  <xdr:cNvPr id="11" name="Graphic 10" descr="Warning outline">
                    <a:extLst>
                      <a:ext uri="{FF2B5EF4-FFF2-40B4-BE49-F238E27FC236}">
                        <a16:creationId xmlns:a16="http://schemas.microsoft.com/office/drawing/2014/main" id="{A208E738-B2BB-7F1D-1AB1-DBC3D61600CB}"/>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3239750" y="895350"/>
                    <a:ext cx="723900" cy="723900"/>
                  </a:xfrm>
                  <a:prstGeom prst="rect">
                    <a:avLst/>
                  </a:prstGeom>
                </xdr:spPr>
              </xdr:pic>
            </xdr:grpSp>
          </xdr:grpSp>
          <mc:AlternateContent xmlns:mc="http://schemas.openxmlformats.org/markup-compatibility/2006">
            <mc:Choice xmlns:a14="http://schemas.microsoft.com/office/drawing/2010/main" Requires="a14">
              <xdr:graphicFrame macro="">
                <xdr:nvGraphicFramePr>
                  <xdr:cNvPr id="14" name="fulfillment">
                    <a:extLst>
                      <a:ext uri="{FF2B5EF4-FFF2-40B4-BE49-F238E27FC236}">
                        <a16:creationId xmlns:a16="http://schemas.microsoft.com/office/drawing/2014/main" id="{58869242-B9C1-4D77-86FA-B7B3CC56C4D0}"/>
                      </a:ext>
                    </a:extLst>
                  </xdr:cNvPr>
                  <xdr:cNvGraphicFramePr/>
                </xdr:nvGraphicFramePr>
                <xdr:xfrm>
                  <a:off x="171450" y="647701"/>
                  <a:ext cx="1828800" cy="685800"/>
                </xdr:xfrm>
                <a:graphic>
                  <a:graphicData uri="http://schemas.microsoft.com/office/drawing/2010/slicer">
                    <sle:slicer xmlns:sle="http://schemas.microsoft.com/office/drawing/2010/slicer" name="fulfillment"/>
                  </a:graphicData>
                </a:graphic>
              </xdr:graphicFrame>
            </mc:Choice>
            <mc:Fallback>
              <xdr:sp macro="" textlink="">
                <xdr:nvSpPr>
                  <xdr:cNvPr id="0" name=""/>
                  <xdr:cNvSpPr>
                    <a:spLocks noTextEdit="1"/>
                  </xdr:cNvSpPr>
                </xdr:nvSpPr>
                <xdr:spPr>
                  <a:xfrm>
                    <a:off x="209550" y="561976"/>
                    <a:ext cx="1828800" cy="685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sp macro="" textlink="">
          <xdr:nvSpPr>
            <xdr:cNvPr id="17" name="TextBox 16">
              <a:extLst>
                <a:ext uri="{FF2B5EF4-FFF2-40B4-BE49-F238E27FC236}">
                  <a16:creationId xmlns:a16="http://schemas.microsoft.com/office/drawing/2014/main" id="{A5A496AE-143C-4227-B4AA-D37C5FC4921A}"/>
                </a:ext>
              </a:extLst>
            </xdr:cNvPr>
            <xdr:cNvSpPr txBox="1"/>
          </xdr:nvSpPr>
          <xdr:spPr>
            <a:xfrm>
              <a:off x="2486024" y="466724"/>
              <a:ext cx="2333625"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accent6"/>
                  </a:solidFill>
                </a:rPr>
                <a:t>TOTAL SALES</a:t>
              </a:r>
            </a:p>
          </xdr:txBody>
        </xdr:sp>
        <xdr:sp macro="" textlink="'Pivot Tables'!$D$2">
          <xdr:nvSpPr>
            <xdr:cNvPr id="20" name="TextBox 19">
              <a:extLst>
                <a:ext uri="{FF2B5EF4-FFF2-40B4-BE49-F238E27FC236}">
                  <a16:creationId xmlns:a16="http://schemas.microsoft.com/office/drawing/2014/main" id="{E033B15F-B330-4B8B-8CB7-9560693028A1}"/>
                </a:ext>
              </a:extLst>
            </xdr:cNvPr>
            <xdr:cNvSpPr txBox="1"/>
          </xdr:nvSpPr>
          <xdr:spPr>
            <a:xfrm>
              <a:off x="2981325" y="885825"/>
              <a:ext cx="1123949"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6B9D96-D1F6-469C-9DC1-41EB564E2209}" type="TxLink">
                <a:rPr lang="en-US" sz="2400" b="1" i="0" u="none" strike="noStrike">
                  <a:solidFill>
                    <a:sysClr val="windowText" lastClr="000000"/>
                  </a:solidFill>
                  <a:latin typeface="Aptos Narrow"/>
                </a:rPr>
                <a:t>$202 K</a:t>
              </a:fld>
              <a:endParaRPr lang="en-US" sz="4000" b="1">
                <a:solidFill>
                  <a:sysClr val="windowText" lastClr="000000"/>
                </a:solidFill>
              </a:endParaRPr>
            </a:p>
          </xdr:txBody>
        </xdr:sp>
        <xdr:sp macro="" textlink="">
          <xdr:nvSpPr>
            <xdr:cNvPr id="22" name="TextBox 21">
              <a:extLst>
                <a:ext uri="{FF2B5EF4-FFF2-40B4-BE49-F238E27FC236}">
                  <a16:creationId xmlns:a16="http://schemas.microsoft.com/office/drawing/2014/main" id="{95B03D4D-F938-4ABA-8182-EDFBF3CC312F}"/>
                </a:ext>
              </a:extLst>
            </xdr:cNvPr>
            <xdr:cNvSpPr txBox="1"/>
          </xdr:nvSpPr>
          <xdr:spPr>
            <a:xfrm>
              <a:off x="4752974" y="466725"/>
              <a:ext cx="2438401" cy="40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800" b="1">
                  <a:solidFill>
                    <a:schemeClr val="accent6"/>
                  </a:solidFill>
                  <a:latin typeface="+mn-lt"/>
                  <a:ea typeface="+mn-ea"/>
                  <a:cs typeface="+mn-cs"/>
                </a:rPr>
                <a:t>TOTAL ORDERS</a:t>
              </a:r>
            </a:p>
          </xdr:txBody>
        </xdr:sp>
        <xdr:sp macro="" textlink="'Pivot Tables'!$F$2">
          <xdr:nvSpPr>
            <xdr:cNvPr id="23" name="TextBox 22">
              <a:extLst>
                <a:ext uri="{FF2B5EF4-FFF2-40B4-BE49-F238E27FC236}">
                  <a16:creationId xmlns:a16="http://schemas.microsoft.com/office/drawing/2014/main" id="{697E9F7E-0B0B-4A7C-834A-92A7107CE640}"/>
                </a:ext>
              </a:extLst>
            </xdr:cNvPr>
            <xdr:cNvSpPr txBox="1"/>
          </xdr:nvSpPr>
          <xdr:spPr>
            <a:xfrm>
              <a:off x="5648325" y="876300"/>
              <a:ext cx="65722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9FC6EB2-D8DA-43C7-9D9D-0A4F0E0B5C95}" type="TxLink">
                <a:rPr lang="en-US" sz="2400" b="1" i="0" u="none" strike="noStrike">
                  <a:solidFill>
                    <a:sysClr val="windowText" lastClr="000000"/>
                  </a:solidFill>
                  <a:latin typeface="Aptos Narrow"/>
                  <a:ea typeface="+mn-ea"/>
                  <a:cs typeface="+mn-cs"/>
                </a:rPr>
                <a:pPr marL="0" indent="0"/>
                <a:t>100</a:t>
              </a:fld>
              <a:endParaRPr lang="en-US" sz="2400" b="1" i="0" u="none" strike="noStrike">
                <a:solidFill>
                  <a:sysClr val="windowText" lastClr="000000"/>
                </a:solidFill>
                <a:latin typeface="Aptos Narrow"/>
                <a:ea typeface="+mn-ea"/>
                <a:cs typeface="+mn-cs"/>
              </a:endParaRPr>
            </a:p>
          </xdr:txBody>
        </xdr:sp>
        <xdr:sp macro="" textlink="">
          <xdr:nvSpPr>
            <xdr:cNvPr id="24" name="TextBox 23">
              <a:extLst>
                <a:ext uri="{FF2B5EF4-FFF2-40B4-BE49-F238E27FC236}">
                  <a16:creationId xmlns:a16="http://schemas.microsoft.com/office/drawing/2014/main" id="{8E0D9503-B588-435A-8021-1A18E1DB54DA}"/>
                </a:ext>
              </a:extLst>
            </xdr:cNvPr>
            <xdr:cNvSpPr txBox="1"/>
          </xdr:nvSpPr>
          <xdr:spPr>
            <a:xfrm>
              <a:off x="7372349" y="466725"/>
              <a:ext cx="1790701" cy="40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800" b="1">
                  <a:solidFill>
                    <a:schemeClr val="accent6"/>
                  </a:solidFill>
                  <a:latin typeface="+mn-lt"/>
                  <a:ea typeface="+mn-ea"/>
                  <a:cs typeface="+mn-cs"/>
                </a:rPr>
                <a:t>TOTAL AOV</a:t>
              </a:r>
            </a:p>
          </xdr:txBody>
        </xdr:sp>
        <xdr:sp macro="" textlink="'Pivot Tables'!$H$2">
          <xdr:nvSpPr>
            <xdr:cNvPr id="25" name="TextBox 24">
              <a:extLst>
                <a:ext uri="{FF2B5EF4-FFF2-40B4-BE49-F238E27FC236}">
                  <a16:creationId xmlns:a16="http://schemas.microsoft.com/office/drawing/2014/main" id="{3268E1B2-B776-4964-9233-2A8D071C2B23}"/>
                </a:ext>
              </a:extLst>
            </xdr:cNvPr>
            <xdr:cNvSpPr txBox="1"/>
          </xdr:nvSpPr>
          <xdr:spPr>
            <a:xfrm>
              <a:off x="7762875" y="857250"/>
              <a:ext cx="94297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A974CB17-2643-423E-B17D-6F4C7ABB074B}" type="TxLink">
                <a:rPr lang="en-US" sz="2400" b="1" i="0" u="none" strike="noStrike">
                  <a:solidFill>
                    <a:sysClr val="windowText" lastClr="000000"/>
                  </a:solidFill>
                  <a:latin typeface="Aptos Narrow"/>
                  <a:ea typeface="+mn-ea"/>
                  <a:cs typeface="+mn-cs"/>
                </a:rPr>
                <a:pPr marL="0" indent="0"/>
                <a:t>2,018</a:t>
              </a:fld>
              <a:endParaRPr lang="en-US" sz="2400" b="1" i="0" u="none" strike="noStrike">
                <a:solidFill>
                  <a:sysClr val="windowText" lastClr="000000"/>
                </a:solidFill>
                <a:latin typeface="Aptos Narrow"/>
                <a:ea typeface="+mn-ea"/>
                <a:cs typeface="+mn-cs"/>
              </a:endParaRPr>
            </a:p>
          </xdr:txBody>
        </xdr:sp>
      </xdr:grpSp>
      <xdr:sp macro="" textlink="">
        <xdr:nvSpPr>
          <xdr:cNvPr id="27" name="Rectangle: Rounded Corners 26">
            <a:extLst>
              <a:ext uri="{FF2B5EF4-FFF2-40B4-BE49-F238E27FC236}">
                <a16:creationId xmlns:a16="http://schemas.microsoft.com/office/drawing/2014/main" id="{4FB93141-5B73-CBA6-51C2-BCF68A697D8A}"/>
              </a:ext>
            </a:extLst>
          </xdr:cNvPr>
          <xdr:cNvSpPr/>
        </xdr:nvSpPr>
        <xdr:spPr>
          <a:xfrm>
            <a:off x="2486025" y="466725"/>
            <a:ext cx="2085975" cy="838200"/>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Rounded Corners 27">
            <a:extLst>
              <a:ext uri="{FF2B5EF4-FFF2-40B4-BE49-F238E27FC236}">
                <a16:creationId xmlns:a16="http://schemas.microsoft.com/office/drawing/2014/main" id="{767E451E-A673-4AF1-A835-ADC86315783C}"/>
              </a:ext>
            </a:extLst>
          </xdr:cNvPr>
          <xdr:cNvSpPr/>
        </xdr:nvSpPr>
        <xdr:spPr>
          <a:xfrm>
            <a:off x="4781550" y="466725"/>
            <a:ext cx="2324100" cy="809625"/>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Rectangle: Rounded Corners 28">
            <a:extLst>
              <a:ext uri="{FF2B5EF4-FFF2-40B4-BE49-F238E27FC236}">
                <a16:creationId xmlns:a16="http://schemas.microsoft.com/office/drawing/2014/main" id="{8ED23993-F2F1-4CEC-831D-590131921830}"/>
              </a:ext>
            </a:extLst>
          </xdr:cNvPr>
          <xdr:cNvSpPr/>
        </xdr:nvSpPr>
        <xdr:spPr>
          <a:xfrm>
            <a:off x="7381875" y="466725"/>
            <a:ext cx="1781175" cy="800100"/>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ristopher Barnett" refreshedDate="46111.512609837962" backgroundQuery="1" createdVersion="8" refreshedVersion="8" minRefreshableVersion="3" recordCount="60" xr:uid="{12ECFFD8-1B50-42A1-8DCD-D824800EDA45}">
  <cacheSource type="external" connectionId="1"/>
  <cacheFields count="3">
    <cacheField name="order_year" numFmtId="0">
      <sharedItems containsSemiMixedTypes="0" containsString="0" containsNumber="1" containsInteger="1" minValue="2016" maxValue="2020" count="5">
        <n v="2016"/>
        <n v="2017"/>
        <n v="2018"/>
        <n v="2019"/>
        <n v="2020"/>
      </sharedItems>
    </cacheField>
    <cacheField name="order_month" numFmtId="0">
      <sharedItems count="12">
        <s v="Jan"/>
        <s v="Feb"/>
        <s v="Mar"/>
        <s v="Apr"/>
        <s v="May"/>
        <s v="Jun"/>
        <s v="Jul"/>
        <s v="Aug"/>
        <s v="Sep"/>
        <s v="Oct"/>
        <s v="Nov"/>
        <s v="Dec"/>
      </sharedItems>
    </cacheField>
    <cacheField name="total_sales" numFmtId="0">
      <sharedItems containsSemiMixedTypes="0" containsString="0" containsNumber="1" containsInteger="1" minValue="0" maxValue="27342"/>
    </cacheField>
  </cacheFields>
  <extLst>
    <ext xmlns:x14="http://schemas.microsoft.com/office/spreadsheetml/2009/9/main" uri="{725AE2AE-9491-48be-B2B4-4EB974FC3084}">
      <x14:pivotCacheDefinition pivotCacheId="13132371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11.675625810189" createdVersion="5" refreshedVersion="8" minRefreshableVersion="3" recordCount="0" supportSubquery="1" supportAdvancedDrill="1" xr:uid="{FD421979-E9C9-4744-95B4-E9571A5C6BFB}">
  <cacheSource type="external" connectionId="5"/>
  <cacheFields count="3">
    <cacheField name="[normalized_sales_orders].[fulfillment].[fulfillment]" caption="fulfillment" numFmtId="0" hierarchy="1" level="1">
      <sharedItems count="2">
        <s v="In store"/>
        <s v="Online"/>
      </sharedItems>
    </cacheField>
    <cacheField name="[Measures].[Total Orders]" caption="Total Orders" numFmtId="0" hierarchy="14" level="32767"/>
    <cacheField name="[sales_orders].[order_date].[order_date]" caption="order_date" numFmtId="0" hierarchy="11" level="1">
      <sharedItems containsSemiMixedTypes="0" containsNonDate="0" containsString="0"/>
    </cacheField>
  </cacheFields>
  <cacheHierarchies count="24">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fieldsUsage count="2">
        <fieldUsage x="-1"/>
        <fieldUsage x="0"/>
      </fieldsUsage>
    </cacheHierarchy>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2"/>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0" memberValueDatatype="130" unbalanced="0"/>
    <cacheHierarchy uniqueName="[Measures].[Total Orders]" caption="Total Orders" measure="1" displayFolder="" measureGroup="normalized_sales_orders" count="0" oneField="1">
      <fieldsUsage count="1">
        <fieldUsage x="1"/>
      </fieldsUsage>
    </cacheHierarchy>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y uniqueName="[Measures].[Sum of total_sales 2]" caption="Sum of total_sales 2" measure="1" displayFolder="" measureGroup="order_analysis" count="0" hidden="1">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hidden="1">
      <extLst>
        <ext xmlns:x15="http://schemas.microsoft.com/office/spreadsheetml/2010/11/main" uri="{B97F6D7D-B522-45F9-BDA1-12C45D357490}">
          <x15:cacheHierarchy aggregatedColumn="4"/>
        </ext>
      </extLst>
    </cacheHierarchy>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11.675626851851" createdVersion="5" refreshedVersion="8" minRefreshableVersion="3" recordCount="0" supportSubquery="1" supportAdvancedDrill="1" xr:uid="{B66F0A65-DECE-411A-92BE-3BBDFF77997B}">
  <cacheSource type="external" connectionId="5"/>
  <cacheFields count="3">
    <cacheField name="[normalized_sales_orders].[fulfillment].[fulfillment]" caption="fulfillment" numFmtId="0" hierarchy="1" level="1">
      <sharedItems count="2">
        <s v="In store"/>
        <s v="Online"/>
      </sharedItems>
    </cacheField>
    <cacheField name="[Measures].[Average Order Value]" caption="Average Order Value" numFmtId="0" hierarchy="16" level="32767"/>
    <cacheField name="[sales_orders].[order_date].[order_date]" caption="order_date" numFmtId="0" hierarchy="11" level="1">
      <sharedItems containsSemiMixedTypes="0" containsNonDate="0" containsString="0"/>
    </cacheField>
  </cacheFields>
  <cacheHierarchies count="24">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fieldsUsage count="2">
        <fieldUsage x="-1"/>
        <fieldUsage x="0"/>
      </fieldsUsage>
    </cacheHierarchy>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2"/>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0" memberValueDatatype="130" unbalanced="0"/>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oneField="1">
      <fieldsUsage count="1">
        <fieldUsage x="1"/>
      </fieldsUsage>
    </cacheHierarchy>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y uniqueName="[Measures].[Sum of total_sales 2]" caption="Sum of total_sales 2" measure="1" displayFolder="" measureGroup="order_analysis" count="0" hidden="1">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hidden="1">
      <extLst>
        <ext xmlns:x15="http://schemas.microsoft.com/office/spreadsheetml/2010/11/main" uri="{B97F6D7D-B522-45F9-BDA1-12C45D357490}">
          <x15:cacheHierarchy aggregatedColumn="4"/>
        </ext>
      </extLst>
    </cacheHierarchy>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11.67562800926" createdVersion="5" refreshedVersion="8" minRefreshableVersion="3" recordCount="0" supportSubquery="1" supportAdvancedDrill="1" xr:uid="{D7E3DBDA-FA47-4503-8FB9-5FB40B8576B7}">
  <cacheSource type="external" connectionId="5"/>
  <cacheFields count="3">
    <cacheField name="[normalized_sales_orders].[fulfillment].[fulfillment]" caption="fulfillment" numFmtId="0" hierarchy="1" level="1">
      <sharedItems count="2">
        <s v="In store"/>
        <s v="Online"/>
      </sharedItems>
    </cacheField>
    <cacheField name="[Measures].[Total Sales]" caption="Total Sales" numFmtId="0" hierarchy="15" level="32767"/>
    <cacheField name="[sales_orders].[order_date].[order_date]" caption="order_date" numFmtId="0" hierarchy="11" level="1">
      <sharedItems containsSemiMixedTypes="0" containsNonDate="0" containsString="0"/>
    </cacheField>
  </cacheFields>
  <cacheHierarchies count="24">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fieldsUsage count="2">
        <fieldUsage x="-1"/>
        <fieldUsage x="0"/>
      </fieldsUsage>
    </cacheHierarchy>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2"/>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0" memberValueDatatype="130" unbalanced="0"/>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1"/>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y uniqueName="[Measures].[Sum of total_sales 2]" caption="Sum of total_sales 2" measure="1" displayFolder="" measureGroup="order_analysis" count="0" hidden="1">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hidden="1">
      <extLst>
        <ext xmlns:x15="http://schemas.microsoft.com/office/spreadsheetml/2010/11/main" uri="{B97F6D7D-B522-45F9-BDA1-12C45D357490}">
          <x15:cacheHierarchy aggregatedColumn="4"/>
        </ext>
      </extLst>
    </cacheHierarchy>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11.683276736112" createdVersion="5" refreshedVersion="8" minRefreshableVersion="3" recordCount="0" supportSubquery="1" supportAdvancedDrill="1" xr:uid="{7B29228C-877F-4E80-976D-420BC62D15F4}">
  <cacheSource type="external" connectionId="5"/>
  <cacheFields count="5">
    <cacheField name="[Measures].[Total Sales]" caption="Total Sales" numFmtId="0" hierarchy="15" level="32767"/>
    <cacheField name="[order_analysis].[order_number].[order_number]" caption="order_number" numFmtId="0" hierarchy="5" level="1">
      <sharedItems containsSemiMixedTypes="0" containsString="0" containsNumber="1" containsInteger="1" minValue="1321003" maxValue="1885025" count="5">
        <n v="1321003"/>
        <n v="1371011"/>
        <n v="1599043"/>
        <n v="1812007"/>
        <n v="1885025"/>
      </sharedItems>
      <extLst>
        <ext xmlns:x15="http://schemas.microsoft.com/office/spreadsheetml/2010/11/main" uri="{4F2E5C28-24EA-4eb8-9CBF-B6C8F9C3D259}">
          <x15:cachedUniqueNames>
            <x15:cachedUniqueName index="0" name="[order_analysis].[order_number].&amp;[1321003]"/>
            <x15:cachedUniqueName index="1" name="[order_analysis].[order_number].&amp;[1371011]"/>
            <x15:cachedUniqueName index="2" name="[order_analysis].[order_number].&amp;[1599043]"/>
            <x15:cachedUniqueName index="3" name="[order_analysis].[order_number].&amp;[1812007]"/>
            <x15:cachedUniqueName index="4" name="[order_analysis].[order_number].&amp;[1885025]"/>
          </x15:cachedUniqueNames>
        </ext>
      </extLst>
    </cacheField>
    <cacheField name="[Measures].[Sum of num_products]" caption="Sum of num_products" numFmtId="0" hierarchy="22"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ntainsSemiMixedTypes="0" containsNonDate="0" containsString="0"/>
    </cacheField>
  </cacheFields>
  <cacheHierarchies count="24">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2" memberValueDatatype="20" unbalanced="0">
      <fieldsUsage count="2">
        <fieldUsage x="-1"/>
        <fieldUsage x="1"/>
      </fieldsUsage>
    </cacheHierarchy>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3"/>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4"/>
      </fieldsUsage>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0"/>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y uniqueName="[Measures].[Sum of total_sales 2]" caption="Sum of total_sales 2" measure="1" displayFolder="" measureGroup="order_analysis" count="0" hidden="1">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oneField="1" hidden="1">
      <fieldsUsage count="1">
        <fieldUsage x="2"/>
      </fieldsUsage>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hidden="1">
      <extLst>
        <ext xmlns:x15="http://schemas.microsoft.com/office/spreadsheetml/2010/11/main" uri="{B97F6D7D-B522-45F9-BDA1-12C45D357490}">
          <x15:cacheHierarchy aggregatedColumn="4"/>
        </ext>
      </extLst>
    </cacheHierarchy>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11.683277199074" createdVersion="5" refreshedVersion="8" minRefreshableVersion="3" recordCount="0" supportSubquery="1" supportAdvancedDrill="1" xr:uid="{CCBEC363-1E91-4C97-B8ED-40229108D76E}">
  <cacheSource type="external" connectionId="5"/>
  <cacheFields count="5">
    <cacheField name="[Measures].[Total Sales]" caption="Total Sales" numFmtId="0" hierarchy="15" level="32767"/>
    <cacheField name="[sales_orders].[order_date].[order_date]" caption="order_date" numFmtId="0" hierarchy="11" level="1">
      <sharedItems containsSemiMixedTypes="0" containsNonDate="0" containsString="0"/>
    </cacheField>
    <cacheField name="[order_analysis].[num_products_bin].[num_products_bin]" caption="num_products_bin" numFmtId="0" hierarchy="7" level="1">
      <sharedItems count="4">
        <s v="1.) 1-2"/>
        <s v="2.) 3-4"/>
        <s v="3.) 5-6"/>
        <s v="4.) 7-8"/>
      </sharedItems>
    </cacheField>
    <cacheField name="[sales_orders].[fulfillment].[fulfillment]" caption="fulfillment" numFmtId="0" hierarchy="13" level="1">
      <sharedItems containsSemiMixedTypes="0" containsNonDate="0" containsString="0"/>
    </cacheField>
    <cacheField name="[Measures].[Sum of quantity]" caption="Sum of quantity" numFmtId="0" hierarchy="23" level="32767"/>
  </cacheFields>
  <cacheHierarchies count="24">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2" memberValueDatatype="130" unbalanced="0">
      <fieldsUsage count="2">
        <fieldUsage x="-1"/>
        <fieldUsage x="2"/>
      </fieldsUsage>
    </cacheHierarchy>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3"/>
      </fieldsUsage>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0"/>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y uniqueName="[Measures].[Sum of total_sales 2]" caption="Sum of total_sales 2" measure="1" displayFolder="" measureGroup="order_analysis" count="0" hidden="1">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oneField="1" hidden="1">
      <fieldsUsage count="1">
        <fieldUsage x="4"/>
      </fieldsUsage>
      <extLst>
        <ext xmlns:x15="http://schemas.microsoft.com/office/spreadsheetml/2010/11/main" uri="{B97F6D7D-B522-45F9-BDA1-12C45D357490}">
          <x15:cacheHierarchy aggregatedColumn="4"/>
        </ext>
      </extLst>
    </cacheHierarchy>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11.675620833332" createdVersion="3" refreshedVersion="8" minRefreshableVersion="3" recordCount="0" supportSubquery="1" supportAdvancedDrill="1" xr:uid="{209E31D1-0A55-48B9-AA0B-6A1B54141364}">
  <cacheSource type="external" connectionId="5">
    <extLst>
      <ext xmlns:x14="http://schemas.microsoft.com/office/spreadsheetml/2009/9/main" uri="{F057638F-6D5F-4e77-A914-E7F072B9BCA8}">
        <x14:sourceConnection name="ThisWorkbookDataModel"/>
      </ext>
    </extLst>
  </cacheSource>
  <cacheFields count="0"/>
  <cacheHierarchies count="24">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0" memberValueDatatype="7" unbalanced="0"/>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y uniqueName="[Measures].[Sum of total_sales 2]" caption="Sum of total_sales 2" measure="1" displayFolder="" measureGroup="order_analysis" count="0" hidden="1">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hidden="1">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1158642010"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x v="0"/>
    <n v="904"/>
  </r>
  <r>
    <x v="0"/>
    <x v="1"/>
    <n v="200"/>
  </r>
  <r>
    <x v="0"/>
    <x v="2"/>
    <n v="0"/>
  </r>
  <r>
    <x v="0"/>
    <x v="3"/>
    <n v="0"/>
  </r>
  <r>
    <x v="0"/>
    <x v="4"/>
    <n v="0"/>
  </r>
  <r>
    <x v="0"/>
    <x v="5"/>
    <n v="0"/>
  </r>
  <r>
    <x v="0"/>
    <x v="6"/>
    <n v="0"/>
  </r>
  <r>
    <x v="0"/>
    <x v="7"/>
    <n v="1726"/>
  </r>
  <r>
    <x v="0"/>
    <x v="8"/>
    <n v="0"/>
  </r>
  <r>
    <x v="0"/>
    <x v="9"/>
    <n v="3101"/>
  </r>
  <r>
    <x v="0"/>
    <x v="10"/>
    <n v="0"/>
  </r>
  <r>
    <x v="0"/>
    <x v="11"/>
    <n v="865"/>
  </r>
  <r>
    <x v="1"/>
    <x v="0"/>
    <n v="3697"/>
  </r>
  <r>
    <x v="1"/>
    <x v="1"/>
    <n v="543"/>
  </r>
  <r>
    <x v="1"/>
    <x v="2"/>
    <n v="230"/>
  </r>
  <r>
    <x v="1"/>
    <x v="3"/>
    <n v="0"/>
  </r>
  <r>
    <x v="1"/>
    <x v="4"/>
    <n v="0"/>
  </r>
  <r>
    <x v="1"/>
    <x v="5"/>
    <n v="1809"/>
  </r>
  <r>
    <x v="1"/>
    <x v="6"/>
    <n v="0"/>
  </r>
  <r>
    <x v="1"/>
    <x v="7"/>
    <n v="0"/>
  </r>
  <r>
    <x v="1"/>
    <x v="8"/>
    <n v="0"/>
  </r>
  <r>
    <x v="1"/>
    <x v="9"/>
    <n v="5969"/>
  </r>
  <r>
    <x v="1"/>
    <x v="10"/>
    <n v="200"/>
  </r>
  <r>
    <x v="1"/>
    <x v="11"/>
    <n v="530"/>
  </r>
  <r>
    <x v="2"/>
    <x v="0"/>
    <n v="360"/>
  </r>
  <r>
    <x v="2"/>
    <x v="1"/>
    <n v="1320"/>
  </r>
  <r>
    <x v="2"/>
    <x v="2"/>
    <n v="0"/>
  </r>
  <r>
    <x v="2"/>
    <x v="3"/>
    <n v="0"/>
  </r>
  <r>
    <x v="2"/>
    <x v="4"/>
    <n v="340"/>
  </r>
  <r>
    <x v="2"/>
    <x v="5"/>
    <n v="4749"/>
  </r>
  <r>
    <x v="2"/>
    <x v="6"/>
    <n v="0"/>
  </r>
  <r>
    <x v="2"/>
    <x v="7"/>
    <n v="7363"/>
  </r>
  <r>
    <x v="2"/>
    <x v="8"/>
    <n v="1853"/>
  </r>
  <r>
    <x v="2"/>
    <x v="9"/>
    <n v="27342"/>
  </r>
  <r>
    <x v="2"/>
    <x v="10"/>
    <n v="4062"/>
  </r>
  <r>
    <x v="2"/>
    <x v="11"/>
    <n v="3315"/>
  </r>
  <r>
    <x v="3"/>
    <x v="0"/>
    <n v="8902"/>
  </r>
  <r>
    <x v="3"/>
    <x v="1"/>
    <n v="5775"/>
  </r>
  <r>
    <x v="3"/>
    <x v="2"/>
    <n v="148"/>
  </r>
  <r>
    <x v="3"/>
    <x v="3"/>
    <n v="0"/>
  </r>
  <r>
    <x v="3"/>
    <x v="4"/>
    <n v="14503"/>
  </r>
  <r>
    <x v="3"/>
    <x v="5"/>
    <n v="6242"/>
  </r>
  <r>
    <x v="3"/>
    <x v="6"/>
    <n v="7360"/>
  </r>
  <r>
    <x v="3"/>
    <x v="7"/>
    <n v="1588"/>
  </r>
  <r>
    <x v="3"/>
    <x v="8"/>
    <n v="2446"/>
  </r>
  <r>
    <x v="3"/>
    <x v="9"/>
    <n v="7451"/>
  </r>
  <r>
    <x v="3"/>
    <x v="10"/>
    <n v="2776"/>
  </r>
  <r>
    <x v="3"/>
    <x v="11"/>
    <n v="23793"/>
  </r>
  <r>
    <x v="4"/>
    <x v="0"/>
    <n v="14796"/>
  </r>
  <r>
    <x v="4"/>
    <x v="1"/>
    <n v="14527"/>
  </r>
  <r>
    <x v="4"/>
    <x v="2"/>
    <n v="2613"/>
  </r>
  <r>
    <x v="4"/>
    <x v="3"/>
    <n v="2412"/>
  </r>
  <r>
    <x v="4"/>
    <x v="4"/>
    <n v="0"/>
  </r>
  <r>
    <x v="4"/>
    <x v="5"/>
    <n v="4707"/>
  </r>
  <r>
    <x v="4"/>
    <x v="6"/>
    <n v="0"/>
  </r>
  <r>
    <x v="4"/>
    <x v="7"/>
    <n v="0"/>
  </r>
  <r>
    <x v="4"/>
    <x v="8"/>
    <n v="0"/>
  </r>
  <r>
    <x v="4"/>
    <x v="9"/>
    <n v="0"/>
  </r>
  <r>
    <x v="4"/>
    <x v="10"/>
    <n v="4862"/>
  </r>
  <r>
    <x v="4"/>
    <x v="11"/>
    <n v="639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330D0D6-7CAA-40C2-9BE3-F48804F88DDA}" name="ProductsPurchased" cacheId="1287" applyNumberFormats="0" applyBorderFormats="0" applyFontFormats="0" applyPatternFormats="0" applyAlignmentFormats="0" applyWidthHeightFormats="1" dataCaption="Values" tag="a708ed70-31c9-4330-b5e8-9e32537b4ad4" updatedVersion="8" minRefreshableVersion="5" subtotalHiddenItems="1" rowGrandTotals="0" colGrandTotals="0" itemPrintTitles="1" createdVersion="5" indent="0" compact="0" compactData="0" multipleFieldFilters="0" chartFormat="15">
  <location ref="A20:C24" firstHeaderRow="0" firstDataRow="1" firstDataCol="1"/>
  <pivotFields count="5">
    <pivotField dataField="1" compact="0" outline="0" subtotalTop="0" showAll="0"/>
    <pivotField compact="0" allDrilled="1" outline="0" subtotalTop="0" showAll="0" dataSourceSort="1" defaultAttributeDrillState="1">
      <items count="1">
        <item t="default"/>
      </items>
    </pivotField>
    <pivotField name="num_products" axis="axisRow" compact="0" allDrilled="1" outline="0" subtotalTop="0" showAll="0" dataSourceSort="1" defaultAttributeDrillState="1">
      <items count="5">
        <item n="1-2" x="0"/>
        <item n="3-4" x="1"/>
        <item n="5-6" x="2"/>
        <item n="7-8" x="3"/>
        <item t="default"/>
      </items>
    </pivotField>
    <pivotField compact="0" allDrilled="1" outline="0" subtotalTop="0" showAll="0" dataSourceSort="1" defaultAttributeDrillState="1"/>
    <pivotField dataField="1" compact="0" outline="0" subtotalTop="0" showAll="0"/>
  </pivotFields>
  <rowFields count="1">
    <field x="2"/>
  </rowFields>
  <rowItems count="4">
    <i>
      <x/>
    </i>
    <i>
      <x v="1"/>
    </i>
    <i>
      <x v="2"/>
    </i>
    <i>
      <x v="3"/>
    </i>
  </rowItems>
  <colFields count="1">
    <field x="-2"/>
  </colFields>
  <colItems count="2">
    <i>
      <x/>
    </i>
    <i i="1">
      <x v="1"/>
    </i>
  </colItems>
  <dataFields count="2">
    <dataField name="Total Quantity Purchased" fld="4" baseField="0" baseItem="0"/>
    <dataField fld="0" subtotal="count" baseField="0" baseItem="0"/>
  </dataFields>
  <chartFormats count="2">
    <chartFormat chart="3" format="12" series="1">
      <pivotArea type="data" outline="0" fieldPosition="0">
        <references count="1">
          <reference field="4294967294" count="1" selected="0">
            <x v="1"/>
          </reference>
        </references>
      </pivotArea>
    </chartFormat>
    <chartFormat chart="3" format="13" series="1">
      <pivotArea type="data" outline="0" fieldPosition="0">
        <references count="1">
          <reference field="4294967294" count="1" selected="0">
            <x v="0"/>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caption="num_products"/>
    <pivotHierarchy dragToData="1"/>
    <pivotHierarchy dragToData="1"/>
    <pivotHierarchy dragToData="1"/>
    <pivotHierarchy dragToData="1"/>
    <pivotHierarchy dragToData="1"/>
    <pivotHierarchy multipleItemSelectionAllowed="1" dragToData="1">
      <members count="1" level="1">
        <member name="[sales_orders].[fulfillment].&amp;[In store]"/>
      </members>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Total Quantity Purchased"/>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order_analysi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9F2F3C-9705-4EFA-B710-66E8FFB1134E}" name="Orders" cacheId="1284" applyNumberFormats="0" applyBorderFormats="0" applyFontFormats="0" applyPatternFormats="0" applyAlignmentFormats="0" applyWidthHeightFormats="1" dataCaption="Values" tag="eae1c8f5-722e-4d67-bc21-d50c939833e0" updatedVersion="8" minRefreshableVersion="5" subtotalHiddenItems="1" rowGrandTotals="0" colGrandTotals="0" itemPrintTitles="1" createdVersion="5" indent="0" compact="0" compactData="0" multipleFieldFilters="0" chartFormat="6">
  <location ref="A13:C18" firstHeaderRow="0" firstDataRow="1" firstDataCol="1"/>
  <pivotFields count="5">
    <pivotField dataField="1" compact="0" outline="0" subtotalTop="0" showAll="0"/>
    <pivotField axis="axisRow" compact="0" allDrilled="1" outline="0" subtotalTop="0" showAll="0" measureFilter="1" sortType="descending" defaultAttributeDrillState="1">
      <items count="6">
        <item x="0"/>
        <item x="1"/>
        <item x="2"/>
        <item x="3"/>
        <item x="4"/>
        <item t="default"/>
      </items>
      <autoSortScope>
        <pivotArea dataOnly="0" outline="0" fieldPosition="0">
          <references count="1">
            <reference field="4294967294" count="1" selected="0">
              <x v="1"/>
            </reference>
          </references>
        </pivotArea>
      </autoSortScope>
    </pivotField>
    <pivotField dataField="1" compact="0" outline="0" subtotalTop="0" showAll="0"/>
    <pivotField compact="0" allDrilled="1" outline="0" subtotalTop="0" showAll="0" dataSourceSort="1" defaultAttributeDrillState="1">
      <items count="1">
        <item t="default"/>
      </items>
    </pivotField>
    <pivotField compact="0" allDrilled="1" outline="0" subtotalTop="0" showAll="0" dataSourceSort="1" defaultAttributeDrillState="1"/>
  </pivotFields>
  <rowFields count="1">
    <field x="1"/>
  </rowFields>
  <rowItems count="5">
    <i>
      <x v="1"/>
    </i>
    <i>
      <x v="2"/>
    </i>
    <i>
      <x v="4"/>
    </i>
    <i>
      <x v="3"/>
    </i>
    <i>
      <x/>
    </i>
  </rowItems>
  <colFields count="1">
    <field x="-2"/>
  </colFields>
  <colItems count="2">
    <i>
      <x/>
    </i>
    <i i="1">
      <x v="1"/>
    </i>
  </colItems>
  <dataFields count="2">
    <dataField name="Total Products Purchased" fld="2" baseField="0" baseItem="0"/>
    <dataField fld="0" subtotal="count" baseField="0" baseItem="0"/>
  </dataFields>
  <chartFormats count="2">
    <chartFormat chart="3" format="18" series="1">
      <pivotArea type="data" outline="0" fieldPosition="0">
        <references count="1">
          <reference field="4294967294" count="1" selected="0">
            <x v="1"/>
          </reference>
        </references>
      </pivotArea>
    </chartFormat>
    <chartFormat chart="3" format="19" series="1">
      <pivotArea type="data" outline="0" fieldPosition="0">
        <references count="1">
          <reference field="4294967294" count="1" selected="0">
            <x v="0"/>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_orders].[fulfillment].&amp;[In store]"/>
      </members>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Products Purchased"/>
    <pivotHierarchy dragToData="1"/>
  </pivotHierarchies>
  <pivotTableStyleInfo name="PivotStyleLight16" showRowHeaders="1" showColHeaders="1" showRowStripes="0" showColStripes="0" showLastColumn="1"/>
  <filters count="2">
    <filter fld="3" type="dateBetween" evalOrder="-1" id="116"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 fld="1" type="count" id="1" iMeasureHier="15">
      <autoFilter ref="A1">
        <filterColumn colId="0">
          <top10 val="5" filterVal="5"/>
        </filterColumn>
      </autoFilter>
    </filter>
  </filter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order_analysi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E28972-F10D-4C64-80CA-B2080F406EFE}" name="FulfillmentsTotalSales" cacheId="1002" applyNumberFormats="0" applyBorderFormats="0" applyFontFormats="0" applyPatternFormats="0" applyAlignmentFormats="0" applyWidthHeightFormats="1" dataCaption="Values" tag="59e38a36-b29f-43f0-aeb4-75ab612b1ce9" updatedVersion="8" minRefreshableVersion="5" subtotalHiddenItems="1" rowGrandTotals="0" colGrandTotals="0" itemPrintTitles="1" createdVersion="5" indent="0" compact="0" compactData="0" multipleFieldFilters="0" chartFormat="4">
  <location ref="A1:B3" firstHeaderRow="1" firstDataRow="1" firstDataCol="1"/>
  <pivotFields count="3">
    <pivotField axis="axisRow" compact="0" allDrilled="1" outline="0" subtotalTop="0" showAll="0" dataSourceSort="1" defaultAttributeDrillState="1">
      <items count="3">
        <item x="0"/>
        <item x="1"/>
        <item t="default"/>
      </items>
    </pivotField>
    <pivotField dataField="1" compact="0" outline="0" subtotalTop="0" showAll="0"/>
    <pivotField compact="0" allDrilled="1" outline="0" subtotalTop="0" showAll="0" dataSourceSort="1" defaultAttributeDrillState="1">
      <items count="1">
        <item t="default"/>
      </items>
    </pivotField>
  </pivotFields>
  <rowFields count="1">
    <field x="0"/>
  </rowFields>
  <rowItems count="2">
    <i>
      <x/>
    </i>
    <i>
      <x v="1"/>
    </i>
  </rowItems>
  <colItems count="1">
    <i/>
  </colItems>
  <dataFields count="1">
    <dataField fld="1" subtotal="count" baseField="0" baseItem="0"/>
  </dataFields>
  <chartFormats count="6">
    <chartFormat chart="0" format="13" series="1">
      <pivotArea type="data" outline="0" fieldPosition="0">
        <references count="1">
          <reference field="4294967294" count="1" selected="0">
            <x v="0"/>
          </reference>
        </references>
      </pivotArea>
    </chartFormat>
    <chartFormat chart="0" format="14">
      <pivotArea type="data" outline="0" fieldPosition="0">
        <references count="2">
          <reference field="4294967294" count="1" selected="0">
            <x v="0"/>
          </reference>
          <reference field="0" count="1" selected="0">
            <x v="0"/>
          </reference>
        </references>
      </pivotArea>
    </chartFormat>
    <chartFormat chart="0" format="15">
      <pivotArea type="data" outline="0" fieldPosition="0">
        <references count="2">
          <reference field="4294967294" count="1" selected="0">
            <x v="0"/>
          </reference>
          <reference field="0" count="1" selected="0">
            <x v="1"/>
          </reference>
        </references>
      </pivotArea>
    </chartFormat>
    <chartFormat chart="3" format="19" series="1">
      <pivotArea type="data" outline="0" fieldPosition="0">
        <references count="1">
          <reference field="4294967294" count="1" selected="0">
            <x v="0"/>
          </reference>
        </references>
      </pivotArea>
    </chartFormat>
    <chartFormat chart="3" format="20">
      <pivotArea type="data" outline="0" fieldPosition="0">
        <references count="2">
          <reference field="4294967294" count="1" selected="0">
            <x v="0"/>
          </reference>
          <reference field="0" count="1" selected="0">
            <x v="0"/>
          </reference>
        </references>
      </pivotArea>
    </chartFormat>
    <chartFormat chart="3" format="21">
      <pivotArea type="data" outline="0" fieldPosition="0">
        <references count="2">
          <reference field="4294967294" count="1" selected="0">
            <x v="0"/>
          </reference>
          <reference field="0" count="1" selected="0">
            <x v="1"/>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BB054F1-E95E-4E2E-B1D5-E18292C5FB30}" name="FulfillmentsAOV" cacheId="999" applyNumberFormats="0" applyBorderFormats="0" applyFontFormats="0" applyPatternFormats="0" applyAlignmentFormats="0" applyWidthHeightFormats="1" dataCaption="Values" tag="510b5d56-5e56-40d8-89c4-7269225fdcae" updatedVersion="8" minRefreshableVersion="5" subtotalHiddenItems="1" rowGrandTotals="0" colGrandTotals="0" itemPrintTitles="1" createdVersion="5" indent="0" compact="0" compactData="0" multipleFieldFilters="0" chartFormat="5">
  <location ref="A9:B11" firstHeaderRow="1" firstDataRow="1" firstDataCol="1"/>
  <pivotFields count="3">
    <pivotField axis="axisRow" compact="0" allDrilled="1" outline="0" subtotalTop="0" showAll="0" dataSourceSort="1" defaultAttributeDrillState="1">
      <items count="3">
        <item x="0"/>
        <item x="1"/>
        <item t="default"/>
      </items>
    </pivotField>
    <pivotField dataField="1" compact="0" outline="0" subtotalTop="0" showAll="0"/>
    <pivotField compact="0" allDrilled="1" outline="0" subtotalTop="0" showAll="0" dataSourceSort="1" defaultAttributeDrillState="1">
      <items count="1">
        <item t="default"/>
      </items>
    </pivotField>
  </pivotFields>
  <rowFields count="1">
    <field x="0"/>
  </rowFields>
  <rowItems count="2">
    <i>
      <x/>
    </i>
    <i>
      <x v="1"/>
    </i>
  </rowItems>
  <colItems count="1">
    <i/>
  </colItems>
  <dataFields count="1">
    <dataField fld="1" subtotal="count" baseField="0" baseItem="0"/>
  </dataFields>
  <chartFormats count="12">
    <chartFormat chart="0" format="13" series="1">
      <pivotArea type="data" outline="0" fieldPosition="0">
        <references count="1">
          <reference field="4294967294" count="1" selected="0">
            <x v="0"/>
          </reference>
        </references>
      </pivotArea>
    </chartFormat>
    <chartFormat chart="0" format="14">
      <pivotArea type="data" outline="0" fieldPosition="0">
        <references count="2">
          <reference field="4294967294" count="1" selected="0">
            <x v="0"/>
          </reference>
          <reference field="0" count="1" selected="0">
            <x v="0"/>
          </reference>
        </references>
      </pivotArea>
    </chartFormat>
    <chartFormat chart="0" format="15">
      <pivotArea type="data" outline="0" fieldPosition="0">
        <references count="2">
          <reference field="4294967294" count="1" selected="0">
            <x v="0"/>
          </reference>
          <reference field="0" count="1" selected="0">
            <x v="1"/>
          </reference>
        </references>
      </pivotArea>
    </chartFormat>
    <chartFormat chart="1" format="16" series="1">
      <pivotArea type="data" outline="0" fieldPosition="0">
        <references count="1">
          <reference field="4294967294" count="1" selected="0">
            <x v="0"/>
          </reference>
        </references>
      </pivotArea>
    </chartFormat>
    <chartFormat chart="1" format="17">
      <pivotArea type="data" outline="0" fieldPosition="0">
        <references count="2">
          <reference field="4294967294" count="1" selected="0">
            <x v="0"/>
          </reference>
          <reference field="0" count="1" selected="0">
            <x v="0"/>
          </reference>
        </references>
      </pivotArea>
    </chartFormat>
    <chartFormat chart="1" format="18">
      <pivotArea type="data" outline="0" fieldPosition="0">
        <references count="2">
          <reference field="4294967294" count="1" selected="0">
            <x v="0"/>
          </reference>
          <reference field="0" count="1" selected="0">
            <x v="1"/>
          </reference>
        </references>
      </pivotArea>
    </chartFormat>
    <chartFormat chart="2" format="19" series="1">
      <pivotArea type="data" outline="0" fieldPosition="0">
        <references count="1">
          <reference field="4294967294" count="1" selected="0">
            <x v="0"/>
          </reference>
        </references>
      </pivotArea>
    </chartFormat>
    <chartFormat chart="2" format="20">
      <pivotArea type="data" outline="0" fieldPosition="0">
        <references count="2">
          <reference field="4294967294" count="1" selected="0">
            <x v="0"/>
          </reference>
          <reference field="0" count="1" selected="0">
            <x v="0"/>
          </reference>
        </references>
      </pivotArea>
    </chartFormat>
    <chartFormat chart="2" format="21">
      <pivotArea type="data" outline="0" fieldPosition="0">
        <references count="2">
          <reference field="4294967294" count="1" selected="0">
            <x v="0"/>
          </reference>
          <reference field="0" count="1" selected="0">
            <x v="1"/>
          </reference>
        </references>
      </pivotArea>
    </chartFormat>
    <chartFormat chart="3" format="19" series="1">
      <pivotArea type="data" outline="0" fieldPosition="0">
        <references count="1">
          <reference field="4294967294" count="1" selected="0">
            <x v="0"/>
          </reference>
        </references>
      </pivotArea>
    </chartFormat>
    <chartFormat chart="3" format="20">
      <pivotArea type="data" outline="0" fieldPosition="0">
        <references count="2">
          <reference field="4294967294" count="1" selected="0">
            <x v="0"/>
          </reference>
          <reference field="0" count="1" selected="0">
            <x v="0"/>
          </reference>
        </references>
      </pivotArea>
    </chartFormat>
    <chartFormat chart="3" format="21">
      <pivotArea type="data" outline="0" fieldPosition="0">
        <references count="2">
          <reference field="4294967294" count="1" selected="0">
            <x v="0"/>
          </reference>
          <reference field="0" count="1" selected="0">
            <x v="1"/>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BCEE6F3-2003-4415-94D5-1C025CBAF709}" name="FulfillmentsTotalOrders" cacheId="996" applyNumberFormats="0" applyBorderFormats="0" applyFontFormats="0" applyPatternFormats="0" applyAlignmentFormats="0" applyWidthHeightFormats="1" dataCaption="Values" tag="172fe885-d0fd-4b99-993d-40808ba42a58" updatedVersion="8" minRefreshableVersion="5" subtotalHiddenItems="1" rowGrandTotals="0" colGrandTotals="0" itemPrintTitles="1" createdVersion="5" indent="0" compact="0" compactData="0" multipleFieldFilters="0" chartFormat="4">
  <location ref="A5:B7" firstHeaderRow="1" firstDataRow="1" firstDataCol="1"/>
  <pivotFields count="3">
    <pivotField axis="axisRow" compact="0" allDrilled="1" outline="0" subtotalTop="0" showAll="0" dataSourceSort="1" defaultAttributeDrillState="1">
      <items count="3">
        <item x="0"/>
        <item x="1"/>
        <item t="default"/>
      </items>
    </pivotField>
    <pivotField dataField="1" compact="0" outline="0" subtotalTop="0" showAll="0"/>
    <pivotField compact="0" allDrilled="1" outline="0" subtotalTop="0" showAll="0" dataSourceSort="1" defaultAttributeDrillState="1">
      <items count="1">
        <item t="default"/>
      </items>
    </pivotField>
  </pivotFields>
  <rowFields count="1">
    <field x="0"/>
  </rowFields>
  <rowItems count="2">
    <i>
      <x/>
    </i>
    <i>
      <x v="1"/>
    </i>
  </rowItems>
  <colItems count="1">
    <i/>
  </colItems>
  <dataFields count="1">
    <dataField fld="1" subtotal="count" baseField="0" baseItem="0"/>
  </dataFields>
  <chartFormats count="6">
    <chartFormat chart="0" format="13" series="1">
      <pivotArea type="data" outline="0" fieldPosition="0">
        <references count="1">
          <reference field="4294967294" count="1" selected="0">
            <x v="0"/>
          </reference>
        </references>
      </pivotArea>
    </chartFormat>
    <chartFormat chart="0" format="14">
      <pivotArea type="data" outline="0" fieldPosition="0">
        <references count="2">
          <reference field="4294967294" count="1" selected="0">
            <x v="0"/>
          </reference>
          <reference field="0" count="1" selected="0">
            <x v="0"/>
          </reference>
        </references>
      </pivotArea>
    </chartFormat>
    <chartFormat chart="0" format="15">
      <pivotArea type="data" outline="0" fieldPosition="0">
        <references count="2">
          <reference field="4294967294" count="1" selected="0">
            <x v="0"/>
          </reference>
          <reference field="0" count="1" selected="0">
            <x v="1"/>
          </reference>
        </references>
      </pivotArea>
    </chartFormat>
    <chartFormat chart="3" format="19" series="1">
      <pivotArea type="data" outline="0" fieldPosition="0">
        <references count="1">
          <reference field="4294967294" count="1" selected="0">
            <x v="0"/>
          </reference>
        </references>
      </pivotArea>
    </chartFormat>
    <chartFormat chart="3" format="20">
      <pivotArea type="data" outline="0" fieldPosition="0">
        <references count="2">
          <reference field="4294967294" count="1" selected="0">
            <x v="0"/>
          </reference>
          <reference field="0" count="1" selected="0">
            <x v="0"/>
          </reference>
        </references>
      </pivotArea>
    </chartFormat>
    <chartFormat chart="3" format="21">
      <pivotArea type="data" outline="0" fieldPosition="0">
        <references count="2">
          <reference field="4294967294" count="1" selected="0">
            <x v="0"/>
          </reference>
          <reference field="0" count="1" selected="0">
            <x v="1"/>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1">
    <filter fld="2"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35D29FD-E857-4F2E-B911-1AE13114D5DF}" name="MoMGrowth" cacheId="5" applyNumberFormats="0" applyBorderFormats="0" applyFontFormats="0" applyPatternFormats="0" applyAlignmentFormats="0" applyWidthHeightFormats="1" dataCaption="Values" updatedVersion="8" minRefreshableVersion="3" rowGrandTotals="0" colGrandTotals="0" itemPrintTitles="1" createdVersion="8" indent="0" compact="0" compactData="0" multipleFieldFilters="0">
  <location ref="A26:B38" firstHeaderRow="1" firstDataRow="1" firstDataCol="1"/>
  <pivotFields count="3">
    <pivotField compact="0" outline="0" showAll="0">
      <items count="6">
        <item x="0"/>
        <item h="1" x="1"/>
        <item h="1" x="2"/>
        <item h="1" x="3"/>
        <item h="1" x="4"/>
        <item t="default"/>
      </items>
    </pivotField>
    <pivotField axis="axisRow" compact="0" outline="0" showAll="0">
      <items count="13">
        <item x="0"/>
        <item x="1"/>
        <item x="2"/>
        <item x="3"/>
        <item x="4"/>
        <item x="5"/>
        <item x="6"/>
        <item x="7"/>
        <item x="8"/>
        <item x="9"/>
        <item x="10"/>
        <item x="11"/>
        <item t="default"/>
      </items>
    </pivotField>
    <pivotField dataField="1" compact="0" outline="0" showAll="0"/>
  </pivotFields>
  <rowFields count="1">
    <field x="1"/>
  </rowFields>
  <rowItems count="12">
    <i>
      <x/>
    </i>
    <i>
      <x v="1"/>
    </i>
    <i>
      <x v="2"/>
    </i>
    <i>
      <x v="3"/>
    </i>
    <i>
      <x v="4"/>
    </i>
    <i>
      <x v="5"/>
    </i>
    <i>
      <x v="6"/>
    </i>
    <i>
      <x v="7"/>
    </i>
    <i>
      <x v="8"/>
    </i>
    <i>
      <x v="9"/>
    </i>
    <i>
      <x v="10"/>
    </i>
    <i>
      <x v="11"/>
    </i>
  </rowItems>
  <colItems count="1">
    <i/>
  </colItems>
  <dataFields count="1">
    <dataField name="Total Sales" fld="2"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year" xr10:uid="{ABC10B02-5A81-4713-98B9-20605E4C2B47}" sourceName="order_year">
  <pivotTables>
    <pivotTable tabId="1" name="MoMGrowth"/>
  </pivotTables>
  <data>
    <tabular pivotCacheId="131323718">
      <items count="5">
        <i x="0" s="1"/>
        <i x="1"/>
        <i x="2"/>
        <i x="3"/>
        <i x="4"/>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lfillment" xr10:uid="{39A9770E-7025-4ED6-9FAC-293B2A41ED68}" sourceName="[sales_orders].[fulfillment]">
  <pivotTables>
    <pivotTable tabId="1" name="Orders"/>
    <pivotTable tabId="1" name="ProductsPurchased"/>
  </pivotTables>
  <data>
    <olap pivotCacheId="1158642010">
      <levels count="2">
        <level uniqueName="[sales_orders].[fulfillment].[(All)]" sourceCaption="(All)" count="0"/>
        <level uniqueName="[sales_orders].[fulfillment].[fulfillment]" sourceCaption="fulfillment" count="2">
          <ranges>
            <range startItem="0">
              <i n="[sales_orders].[fulfillment].&amp;[In store]" c="In store"/>
              <i n="[sales_orders].[fulfillment].&amp;[Online]" c="Online"/>
            </range>
          </ranges>
        </level>
      </levels>
      <selections count="1">
        <selection n="[sales_orders].[fulfillment].&amp;[In store]"/>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venue Year" xr10:uid="{530F2979-8907-4265-81A9-7EEA399C093F}" cache="Slicer_order_year" caption="Revenue Year" columnCount="6" style="SlicerStyleDark6" rowHeight="257175"/>
  <slicer name="fulfillment" xr10:uid="{40A3E024-0F0A-4C96-9408-7C77C3A10EBB}" cache="Slicer_fulfillment" caption="Fulfillment" columnCount="2" level="1" style="SlicerStyleDark6"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2C5005-D05A-47B9-8888-727224B9FD3F}">
  <dimension ref="A1:H38"/>
  <sheetViews>
    <sheetView tabSelected="1" workbookViewId="0"/>
  </sheetViews>
  <sheetFormatPr defaultRowHeight="15" x14ac:dyDescent="0.25"/>
  <cols>
    <col min="1" max="1" width="16.28515625" bestFit="1" customWidth="1"/>
    <col min="2" max="2" width="24.140625" bestFit="1" customWidth="1"/>
    <col min="3" max="3" width="10.7109375" bestFit="1" customWidth="1"/>
    <col min="4" max="4" width="12.28515625" bestFit="1" customWidth="1"/>
    <col min="5" max="5" width="10.5703125" bestFit="1" customWidth="1"/>
    <col min="6" max="6" width="11.85546875" bestFit="1" customWidth="1"/>
    <col min="8" max="8" width="9.5703125" bestFit="1" customWidth="1"/>
  </cols>
  <sheetData>
    <row r="1" spans="1:8" ht="15.75" thickBot="1" x14ac:dyDescent="0.3">
      <c r="A1" s="1" t="s">
        <v>1</v>
      </c>
      <c r="B1" t="s">
        <v>4</v>
      </c>
      <c r="D1" s="14" t="s">
        <v>4</v>
      </c>
      <c r="E1" s="12"/>
      <c r="F1" s="14" t="s">
        <v>0</v>
      </c>
      <c r="G1" s="12"/>
      <c r="H1" s="14" t="s">
        <v>27</v>
      </c>
    </row>
    <row r="2" spans="1:8" ht="15.75" thickTop="1" x14ac:dyDescent="0.25">
      <c r="A2" t="s">
        <v>2</v>
      </c>
      <c r="B2" s="2">
        <v>183532.19000000009</v>
      </c>
      <c r="D2" s="13" t="str">
        <f>TEXT(SUM(B2:B3),"$#,##, K")</f>
        <v>$202 K</v>
      </c>
      <c r="E2" s="12"/>
      <c r="F2" s="15">
        <f>SUM(B6:B7)</f>
        <v>100</v>
      </c>
      <c r="G2" s="12"/>
      <c r="H2" s="16">
        <f>SUM(B2:B3)/F2</f>
        <v>2017.711700000001</v>
      </c>
    </row>
    <row r="3" spans="1:8" x14ac:dyDescent="0.25">
      <c r="A3" t="s">
        <v>3</v>
      </c>
      <c r="B3" s="2">
        <v>18238.98</v>
      </c>
    </row>
    <row r="5" spans="1:8" x14ac:dyDescent="0.25">
      <c r="A5" s="1" t="s">
        <v>1</v>
      </c>
      <c r="B5" t="s">
        <v>0</v>
      </c>
    </row>
    <row r="6" spans="1:8" x14ac:dyDescent="0.25">
      <c r="A6" t="s">
        <v>2</v>
      </c>
      <c r="B6" s="11">
        <v>83</v>
      </c>
    </row>
    <row r="7" spans="1:8" x14ac:dyDescent="0.25">
      <c r="A7" t="s">
        <v>3</v>
      </c>
      <c r="B7" s="11">
        <v>17</v>
      </c>
    </row>
    <row r="9" spans="1:8" x14ac:dyDescent="0.25">
      <c r="A9" s="1" t="s">
        <v>1</v>
      </c>
      <c r="B9" t="s">
        <v>5</v>
      </c>
    </row>
    <row r="10" spans="1:8" x14ac:dyDescent="0.25">
      <c r="A10" t="s">
        <v>2</v>
      </c>
      <c r="B10" s="3">
        <v>2211.231204819278</v>
      </c>
    </row>
    <row r="11" spans="1:8" x14ac:dyDescent="0.25">
      <c r="A11" t="s">
        <v>3</v>
      </c>
      <c r="B11" s="3">
        <v>1072.8811764705881</v>
      </c>
    </row>
    <row r="13" spans="1:8" x14ac:dyDescent="0.25">
      <c r="A13" s="1" t="s">
        <v>25</v>
      </c>
      <c r="B13" t="s">
        <v>26</v>
      </c>
      <c r="C13" t="s">
        <v>4</v>
      </c>
    </row>
    <row r="14" spans="1:8" x14ac:dyDescent="0.25">
      <c r="A14">
        <v>1371011</v>
      </c>
      <c r="B14" s="11">
        <v>7</v>
      </c>
      <c r="C14" s="2">
        <v>18600.5</v>
      </c>
    </row>
    <row r="15" spans="1:8" x14ac:dyDescent="0.25">
      <c r="A15">
        <v>1599043</v>
      </c>
      <c r="B15" s="11">
        <v>5</v>
      </c>
      <c r="C15" s="2">
        <v>14432.88</v>
      </c>
    </row>
    <row r="16" spans="1:8" x14ac:dyDescent="0.25">
      <c r="A16">
        <v>1885025</v>
      </c>
      <c r="B16" s="11">
        <v>2</v>
      </c>
      <c r="C16" s="2">
        <v>9713.7199999999993</v>
      </c>
    </row>
    <row r="17" spans="1:5" x14ac:dyDescent="0.25">
      <c r="A17">
        <v>1812007</v>
      </c>
      <c r="B17" s="11">
        <v>2</v>
      </c>
      <c r="C17" s="2">
        <v>7291.6</v>
      </c>
    </row>
    <row r="18" spans="1:5" x14ac:dyDescent="0.25">
      <c r="A18">
        <v>1321003</v>
      </c>
      <c r="B18" s="11">
        <v>3</v>
      </c>
      <c r="C18" s="2">
        <v>6275.4</v>
      </c>
    </row>
    <row r="20" spans="1:5" x14ac:dyDescent="0.25">
      <c r="A20" s="1" t="s">
        <v>24</v>
      </c>
      <c r="B20" t="s">
        <v>19</v>
      </c>
      <c r="C20" t="s">
        <v>4</v>
      </c>
    </row>
    <row r="21" spans="1:5" x14ac:dyDescent="0.25">
      <c r="A21" t="s">
        <v>20</v>
      </c>
      <c r="B21" s="11">
        <v>252</v>
      </c>
      <c r="C21" s="2">
        <v>80252.409999999989</v>
      </c>
    </row>
    <row r="22" spans="1:5" x14ac:dyDescent="0.25">
      <c r="A22" t="s">
        <v>21</v>
      </c>
      <c r="B22" s="11">
        <v>297</v>
      </c>
      <c r="C22" s="2">
        <v>62223.249999999978</v>
      </c>
    </row>
    <row r="23" spans="1:5" x14ac:dyDescent="0.25">
      <c r="A23" t="s">
        <v>22</v>
      </c>
      <c r="B23" s="11">
        <v>36</v>
      </c>
      <c r="C23" s="2">
        <v>18109.929999999997</v>
      </c>
    </row>
    <row r="24" spans="1:5" x14ac:dyDescent="0.25">
      <c r="A24" t="s">
        <v>23</v>
      </c>
      <c r="B24" s="11">
        <v>54</v>
      </c>
      <c r="C24" s="2">
        <v>22946.6</v>
      </c>
    </row>
    <row r="26" spans="1:5" ht="15.75" thickBot="1" x14ac:dyDescent="0.3">
      <c r="A26" s="1" t="s">
        <v>6</v>
      </c>
      <c r="B26" t="s">
        <v>4</v>
      </c>
      <c r="D26" s="9" t="str">
        <f>A26</f>
        <v>order_month</v>
      </c>
      <c r="E26" s="10" t="str">
        <f>B26</f>
        <v>Total Sales</v>
      </c>
    </row>
    <row r="27" spans="1:5" ht="15.75" thickTop="1" x14ac:dyDescent="0.25">
      <c r="A27" t="s">
        <v>10</v>
      </c>
      <c r="B27" s="4">
        <v>904</v>
      </c>
      <c r="D27" s="7" t="str" cm="1">
        <f t="array" ref="D27:D38">A27:A38</f>
        <v>Jan</v>
      </c>
      <c r="E27" s="8" cm="1">
        <f t="array" ref="E27:E38">GETPIVOTDATA("Total Sales",$A$26,"order_month",{"Jan";"Feb";"Mar";"Apr";"May";"Jun";"Jul";"Aug";"Sep";"Oct";"Nov";"Dec"})</f>
        <v>904</v>
      </c>
    </row>
    <row r="28" spans="1:5" x14ac:dyDescent="0.25">
      <c r="A28" t="s">
        <v>9</v>
      </c>
      <c r="B28" s="4">
        <v>200</v>
      </c>
      <c r="D28" s="5" t="str">
        <v>Feb</v>
      </c>
      <c r="E28" s="6">
        <v>200</v>
      </c>
    </row>
    <row r="29" spans="1:5" x14ac:dyDescent="0.25">
      <c r="A29" t="s">
        <v>12</v>
      </c>
      <c r="B29" s="4">
        <v>0</v>
      </c>
      <c r="D29" s="5" t="str">
        <v>Mar</v>
      </c>
      <c r="E29" s="6">
        <v>0</v>
      </c>
    </row>
    <row r="30" spans="1:5" x14ac:dyDescent="0.25">
      <c r="A30" t="s">
        <v>7</v>
      </c>
      <c r="B30" s="4">
        <v>0</v>
      </c>
      <c r="D30" s="5" t="str">
        <v>Apr</v>
      </c>
      <c r="E30" s="6">
        <v>0</v>
      </c>
    </row>
    <row r="31" spans="1:5" x14ac:dyDescent="0.25">
      <c r="A31" t="s">
        <v>14</v>
      </c>
      <c r="B31" s="4">
        <v>0</v>
      </c>
      <c r="D31" s="5" t="str">
        <v>May</v>
      </c>
      <c r="E31" s="6">
        <v>0</v>
      </c>
    </row>
    <row r="32" spans="1:5" x14ac:dyDescent="0.25">
      <c r="A32" t="s">
        <v>11</v>
      </c>
      <c r="B32" s="4">
        <v>0</v>
      </c>
      <c r="D32" s="5" t="str">
        <v>Jun</v>
      </c>
      <c r="E32" s="6">
        <v>0</v>
      </c>
    </row>
    <row r="33" spans="1:5" x14ac:dyDescent="0.25">
      <c r="A33" t="s">
        <v>15</v>
      </c>
      <c r="B33" s="4">
        <v>0</v>
      </c>
      <c r="D33" s="5" t="str">
        <v>Jul</v>
      </c>
      <c r="E33" s="6">
        <v>0</v>
      </c>
    </row>
    <row r="34" spans="1:5" x14ac:dyDescent="0.25">
      <c r="A34" t="s">
        <v>16</v>
      </c>
      <c r="B34" s="4">
        <v>1726</v>
      </c>
      <c r="D34" s="5" t="str">
        <v>Aug</v>
      </c>
      <c r="E34" s="6">
        <v>1726</v>
      </c>
    </row>
    <row r="35" spans="1:5" x14ac:dyDescent="0.25">
      <c r="A35" t="s">
        <v>17</v>
      </c>
      <c r="B35" s="4">
        <v>0</v>
      </c>
      <c r="D35" s="5" t="str">
        <v>Sep</v>
      </c>
      <c r="E35" s="6">
        <v>0</v>
      </c>
    </row>
    <row r="36" spans="1:5" x14ac:dyDescent="0.25">
      <c r="A36" t="s">
        <v>18</v>
      </c>
      <c r="B36" s="4">
        <v>3101</v>
      </c>
      <c r="D36" s="5" t="str">
        <v>Oct</v>
      </c>
      <c r="E36" s="6">
        <v>3101</v>
      </c>
    </row>
    <row r="37" spans="1:5" x14ac:dyDescent="0.25">
      <c r="A37" t="s">
        <v>13</v>
      </c>
      <c r="B37" s="4">
        <v>0</v>
      </c>
      <c r="D37" s="5" t="str">
        <v>Nov</v>
      </c>
      <c r="E37" s="6">
        <v>0</v>
      </c>
    </row>
    <row r="38" spans="1:5" x14ac:dyDescent="0.25">
      <c r="A38" t="s">
        <v>8</v>
      </c>
      <c r="B38" s="4">
        <v>865</v>
      </c>
      <c r="D38" s="5" t="str">
        <v>Dec</v>
      </c>
      <c r="E38" s="6">
        <v>865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BCF0C-98FE-42E5-BC99-9E2BE85B6D64}">
  <dimension ref="A1"/>
  <sheetViews>
    <sheetView showGridLines="0" workbookViewId="0"/>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Props1.xml><?xml version="1.0" encoding="utf-8"?>
<ds:datastoreItem xmlns:ds="http://schemas.openxmlformats.org/officeDocument/2006/customXml" ds:itemID="{B8925F53-2E7E-481C-8545-D4CBB6D3FC10}">
  <ds:schemaRefs/>
</ds:datastoreItem>
</file>

<file path=customXml/itemProps2.xml><?xml version="1.0" encoding="utf-8"?>
<ds:datastoreItem xmlns:ds="http://schemas.openxmlformats.org/officeDocument/2006/customXml" ds:itemID="{4F3F0092-B3D1-4FE8-887E-97BBBA66688B}">
  <ds:schemaRefs/>
</ds:datastoreItem>
</file>

<file path=customXml/itemProps3.xml><?xml version="1.0" encoding="utf-8"?>
<ds:datastoreItem xmlns:ds="http://schemas.openxmlformats.org/officeDocument/2006/customXml" ds:itemID="{5485CCE5-5E1F-4E6F-A512-8B46027B0017}">
  <ds:schemaRefs/>
</ds:datastoreItem>
</file>

<file path=customXml/itemProps4.xml><?xml version="1.0" encoding="utf-8"?>
<ds:datastoreItem xmlns:ds="http://schemas.openxmlformats.org/officeDocument/2006/customXml" ds:itemID="{53C63405-2358-4408-97FE-5F1190B0C927}">
  <ds:schemaRefs/>
</ds:datastoreItem>
</file>

<file path=customXml/itemProps5.xml><?xml version="1.0" encoding="utf-8"?>
<ds:datastoreItem xmlns:ds="http://schemas.openxmlformats.org/officeDocument/2006/customXml" ds:itemID="{D4C2BCBB-22BE-4694-9DC3-13B6248812A2}">
  <ds:schemaRefs/>
</ds:datastoreItem>
</file>

<file path=customXml/itemProps6.xml><?xml version="1.0" encoding="utf-8"?>
<ds:datastoreItem xmlns:ds="http://schemas.openxmlformats.org/officeDocument/2006/customXml" ds:itemID="{BCC5C49E-8DCE-44D8-BFE2-75EE837B0276}">
  <ds:schemaRefs/>
</ds:datastoreItem>
</file>

<file path=customXml/itemProps7.xml><?xml version="1.0" encoding="utf-8"?>
<ds:datastoreItem xmlns:ds="http://schemas.openxmlformats.org/officeDocument/2006/customXml" ds:itemID="{E416AED7-5093-48B3-8A97-0CC1A1D57DB0}">
  <ds:schemaRefs/>
</ds:datastoreItem>
</file>

<file path=customXml/itemProps8.xml><?xml version="1.0" encoding="utf-8"?>
<ds:datastoreItem xmlns:ds="http://schemas.openxmlformats.org/officeDocument/2006/customXml" ds:itemID="{0D02EC0C-9B97-491F-AEBA-46688D352142}">
  <ds:schemaRefs/>
</ds:datastoreItem>
</file>

<file path=customXml/itemProps9.xml><?xml version="1.0" encoding="utf-8"?>
<ds:datastoreItem xmlns:ds="http://schemas.openxmlformats.org/officeDocument/2006/customXml" ds:itemID="{1A36C36B-F599-4488-B40F-FF0BD302D84A}">
  <ds:schemaRefs/>
</ds:datastoreItem>
</file>

<file path=customXml/itemProps10.xml><?xml version="1.0" encoding="utf-8"?>
<ds:datastoreItem xmlns:ds="http://schemas.openxmlformats.org/officeDocument/2006/customXml" ds:itemID="{CDAC0066-E79D-4982-A4A2-4BE3324EE30F}">
  <ds:schemaRefs/>
</ds:datastoreItem>
</file>

<file path=customXml/itemProps11.xml><?xml version="1.0" encoding="utf-8"?>
<ds:datastoreItem xmlns:ds="http://schemas.openxmlformats.org/officeDocument/2006/customXml" ds:itemID="{98A34E08-2C93-444B-8F20-71F545CE673C}">
  <ds:schemaRefs/>
</ds:datastoreItem>
</file>

<file path=customXml/itemProps12.xml><?xml version="1.0" encoding="utf-8"?>
<ds:datastoreItem xmlns:ds="http://schemas.openxmlformats.org/officeDocument/2006/customXml" ds:itemID="{34FEC13A-F686-41F2-AAF4-F10453BD13BF}">
  <ds:schemaRefs/>
</ds:datastoreItem>
</file>

<file path=customXml/itemProps13.xml><?xml version="1.0" encoding="utf-8"?>
<ds:datastoreItem xmlns:ds="http://schemas.openxmlformats.org/officeDocument/2006/customXml" ds:itemID="{2B745A23-7E98-4DCD-94F7-04B13FE60256}">
  <ds:schemaRefs/>
</ds:datastoreItem>
</file>

<file path=customXml/itemProps14.xml><?xml version="1.0" encoding="utf-8"?>
<ds:datastoreItem xmlns:ds="http://schemas.openxmlformats.org/officeDocument/2006/customXml" ds:itemID="{F9E8B212-98AB-453D-B682-661D3A578943}">
  <ds:schemaRefs/>
</ds:datastoreItem>
</file>

<file path=customXml/itemProps15.xml><?xml version="1.0" encoding="utf-8"?>
<ds:datastoreItem xmlns:ds="http://schemas.openxmlformats.org/officeDocument/2006/customXml" ds:itemID="{13BE74AD-FF2E-48BA-9207-F7C463BAFE22}">
  <ds:schemaRefs/>
</ds:datastoreItem>
</file>

<file path=customXml/itemProps16.xml><?xml version="1.0" encoding="utf-8"?>
<ds:datastoreItem xmlns:ds="http://schemas.openxmlformats.org/officeDocument/2006/customXml" ds:itemID="{6C1EE8C6-EB06-4F3F-A503-AD3DAABFF4D1}">
  <ds:schemaRefs/>
</ds:datastoreItem>
</file>

<file path=customXml/itemProps17.xml><?xml version="1.0" encoding="utf-8"?>
<ds:datastoreItem xmlns:ds="http://schemas.openxmlformats.org/officeDocument/2006/customXml" ds:itemID="{CDECFD2A-9BC2-4C3B-AECC-C4DEE8D36675}">
  <ds:schemaRefs/>
</ds:datastoreItem>
</file>

<file path=customXml/itemProps18.xml><?xml version="1.0" encoding="utf-8"?>
<ds:datastoreItem xmlns:ds="http://schemas.openxmlformats.org/officeDocument/2006/customXml" ds:itemID="{FB660593-3827-4799-8AD0-E8C963F09571}">
  <ds:schemaRefs>
    <ds:schemaRef ds:uri="http://schemas.microsoft.com/DataMashup"/>
  </ds:schemaRefs>
</ds:datastoreItem>
</file>

<file path=customXml/itemProps19.xml><?xml version="1.0" encoding="utf-8"?>
<ds:datastoreItem xmlns:ds="http://schemas.openxmlformats.org/officeDocument/2006/customXml" ds:itemID="{E2C10CE7-A73D-4C46-B596-444B6AB256B9}">
  <ds:schemaRefs/>
</ds:datastoreItem>
</file>

<file path=customXml/itemProps20.xml><?xml version="1.0" encoding="utf-8"?>
<ds:datastoreItem xmlns:ds="http://schemas.openxmlformats.org/officeDocument/2006/customXml" ds:itemID="{0E4316D7-3DCA-4C13-BB14-247AD1CC407F}">
  <ds:schemaRefs/>
</ds:datastoreItem>
</file>

<file path=customXml/itemProps21.xml><?xml version="1.0" encoding="utf-8"?>
<ds:datastoreItem xmlns:ds="http://schemas.openxmlformats.org/officeDocument/2006/customXml" ds:itemID="{04EB0A2C-05CD-481C-BBC4-8B48067EBA3E}">
  <ds:schemaRefs/>
</ds:datastoreItem>
</file>

<file path=customXml/itemProps22.xml><?xml version="1.0" encoding="utf-8"?>
<ds:datastoreItem xmlns:ds="http://schemas.openxmlformats.org/officeDocument/2006/customXml" ds:itemID="{4BE74872-0A11-4A70-A42C-7F4FAA1C2B93}">
  <ds:schemaRefs/>
</ds:datastoreItem>
</file>

<file path=customXml/itemProps23.xml><?xml version="1.0" encoding="utf-8"?>
<ds:datastoreItem xmlns:ds="http://schemas.openxmlformats.org/officeDocument/2006/customXml" ds:itemID="{04DDF22E-FA04-40B7-8147-D372F6481505}">
  <ds:schemaRefs/>
</ds:datastoreItem>
</file>

<file path=customXml/itemProps24.xml><?xml version="1.0" encoding="utf-8"?>
<ds:datastoreItem xmlns:ds="http://schemas.openxmlformats.org/officeDocument/2006/customXml" ds:itemID="{713CEDAD-D09C-4531-A174-51539F2EF9D9}">
  <ds:schemaRefs/>
</ds:datastoreItem>
</file>

<file path=customXml/itemProps25.xml><?xml version="1.0" encoding="utf-8"?>
<ds:datastoreItem xmlns:ds="http://schemas.openxmlformats.org/officeDocument/2006/customXml" ds:itemID="{18547590-4CD7-4B65-9A24-CDFB5241A4C1}">
  <ds:schemaRefs/>
</ds:datastoreItem>
</file>

<file path=customXml/itemProps26.xml><?xml version="1.0" encoding="utf-8"?>
<ds:datastoreItem xmlns:ds="http://schemas.openxmlformats.org/officeDocument/2006/customXml" ds:itemID="{A24A173C-1E8E-4611-A21D-463A5FE1CBFD}">
  <ds:schemaRefs/>
</ds:datastoreItem>
</file>

<file path=customXml/itemProps27.xml><?xml version="1.0" encoding="utf-8"?>
<ds:datastoreItem xmlns:ds="http://schemas.openxmlformats.org/officeDocument/2006/customXml" ds:itemID="{667F13BD-65B3-49BA-B83A-B8E888F248B2}">
  <ds:schemaRefs/>
</ds:datastoreItem>
</file>

<file path=customXml/itemProps28.xml><?xml version="1.0" encoding="utf-8"?>
<ds:datastoreItem xmlns:ds="http://schemas.openxmlformats.org/officeDocument/2006/customXml" ds:itemID="{4D1826BD-338D-4A6D-BD67-4EC75365E397}">
  <ds:schemaRefs/>
</ds:datastoreItem>
</file>

<file path=customXml/itemProps29.xml><?xml version="1.0" encoding="utf-8"?>
<ds:datastoreItem xmlns:ds="http://schemas.openxmlformats.org/officeDocument/2006/customXml" ds:itemID="{5AE149F7-AF0F-4DE6-AED6-7028A61C0EEF}">
  <ds:schemaRefs/>
</ds:datastoreItem>
</file>

<file path=customXml/itemProps30.xml><?xml version="1.0" encoding="utf-8"?>
<ds:datastoreItem xmlns:ds="http://schemas.openxmlformats.org/officeDocument/2006/customXml" ds:itemID="{35A64F8C-65F1-4939-8EB1-7C68162E17E0}">
  <ds:schemaRefs/>
</ds:datastoreItem>
</file>

<file path=customXml/itemProps31.xml><?xml version="1.0" encoding="utf-8"?>
<ds:datastoreItem xmlns:ds="http://schemas.openxmlformats.org/officeDocument/2006/customXml" ds:itemID="{D2B88A39-F441-4A30-A06B-A0F27A2D152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 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 Barnett</dc:creator>
  <cp:lastModifiedBy>Christopher Barnett</cp:lastModifiedBy>
  <dcterms:created xsi:type="dcterms:W3CDTF">2026-03-30T14:08:49Z</dcterms:created>
  <dcterms:modified xsi:type="dcterms:W3CDTF">2026-03-30T20:24:08Z</dcterms:modified>
</cp:coreProperties>
</file>